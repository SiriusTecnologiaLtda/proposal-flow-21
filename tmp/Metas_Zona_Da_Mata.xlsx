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loprates/Downloads/"/>
    </mc:Choice>
  </mc:AlternateContent>
  <xr:revisionPtr revIDLastSave="0" documentId="13_ncr:1_{946C4AEA-7AF0-D94C-BD11-FFAADA41E0A1}" xr6:coauthVersionLast="47" xr6:coauthVersionMax="47" xr10:uidLastSave="{00000000-0000-0000-0000-000000000000}"/>
  <bookViews>
    <workbookView xWindow="980" yWindow="1160" windowWidth="27840" windowHeight="16700" xr2:uid="{3725E3A9-BE05-EC4E-8D91-8830273089F8}"/>
  </bookViews>
  <sheets>
    <sheet name="Planilha1" sheetId="1" r:id="rId1"/>
  </sheets>
  <externalReferences>
    <externalReference r:id="rId2"/>
    <externalReference r:id="rId3"/>
  </externalReferences>
  <definedNames>
    <definedName name="_xlnm._FilterDatabase" localSheetId="0" hidden="1">Planilha1!$A$1:$Y$104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4" i="1" l="1"/>
  <c r="J104" i="1"/>
  <c r="C104" i="1"/>
  <c r="A104" i="1"/>
  <c r="M104" i="1" s="1"/>
  <c r="L103" i="1"/>
  <c r="J103" i="1"/>
  <c r="C103" i="1"/>
  <c r="A103" i="1"/>
  <c r="M103" i="1" s="1"/>
  <c r="L102" i="1"/>
  <c r="J102" i="1"/>
  <c r="C102" i="1"/>
  <c r="A102" i="1"/>
  <c r="M102" i="1" s="1"/>
  <c r="L101" i="1"/>
  <c r="J101" i="1"/>
  <c r="C101" i="1"/>
  <c r="A101" i="1"/>
  <c r="M101" i="1" s="1"/>
  <c r="L100" i="1"/>
  <c r="J100" i="1"/>
  <c r="C100" i="1"/>
  <c r="A100" i="1"/>
  <c r="M100" i="1" s="1"/>
  <c r="L99" i="1"/>
  <c r="J99" i="1"/>
  <c r="C99" i="1"/>
  <c r="A99" i="1"/>
  <c r="M99" i="1" s="1"/>
  <c r="L98" i="1"/>
  <c r="J98" i="1"/>
  <c r="C98" i="1"/>
  <c r="A98" i="1"/>
  <c r="M98" i="1" s="1"/>
  <c r="L97" i="1"/>
  <c r="J97" i="1"/>
  <c r="C97" i="1"/>
  <c r="A97" i="1"/>
  <c r="M97" i="1" s="1"/>
  <c r="L96" i="1"/>
  <c r="J96" i="1"/>
  <c r="C96" i="1"/>
  <c r="A96" i="1"/>
  <c r="M96" i="1" s="1"/>
  <c r="L95" i="1"/>
  <c r="J95" i="1"/>
  <c r="C95" i="1"/>
  <c r="A95" i="1"/>
  <c r="M95" i="1" s="1"/>
  <c r="L94" i="1"/>
  <c r="J94" i="1"/>
  <c r="C94" i="1"/>
  <c r="A94" i="1"/>
  <c r="M94" i="1" s="1"/>
  <c r="J93" i="1"/>
  <c r="C93" i="1"/>
  <c r="A93" i="1"/>
  <c r="M93" i="1" s="1"/>
  <c r="J92" i="1"/>
  <c r="C92" i="1"/>
  <c r="A92" i="1"/>
  <c r="M92" i="1" s="1"/>
  <c r="L91" i="1"/>
  <c r="J91" i="1"/>
  <c r="C91" i="1"/>
  <c r="A91" i="1"/>
  <c r="M91" i="1" s="1"/>
  <c r="L90" i="1"/>
  <c r="J90" i="1"/>
  <c r="C90" i="1"/>
  <c r="A90" i="1"/>
  <c r="M90" i="1" s="1"/>
  <c r="L89" i="1"/>
  <c r="J89" i="1"/>
  <c r="C89" i="1"/>
  <c r="A89" i="1"/>
  <c r="M89" i="1" s="1"/>
  <c r="L88" i="1"/>
  <c r="J88" i="1"/>
  <c r="C88" i="1"/>
  <c r="A88" i="1"/>
  <c r="M88" i="1" s="1"/>
  <c r="L87" i="1"/>
  <c r="J87" i="1"/>
  <c r="C87" i="1"/>
  <c r="A87" i="1"/>
  <c r="M87" i="1" s="1"/>
  <c r="L86" i="1"/>
  <c r="J86" i="1"/>
  <c r="C86" i="1"/>
  <c r="A86" i="1"/>
  <c r="M86" i="1" s="1"/>
  <c r="L85" i="1"/>
  <c r="J85" i="1"/>
  <c r="C85" i="1"/>
  <c r="A85" i="1"/>
  <c r="M85" i="1" s="1"/>
  <c r="L84" i="1"/>
  <c r="J84" i="1"/>
  <c r="C84" i="1"/>
  <c r="A84" i="1"/>
  <c r="M84" i="1" s="1"/>
  <c r="L83" i="1"/>
  <c r="J83" i="1"/>
  <c r="C83" i="1"/>
  <c r="A83" i="1"/>
  <c r="M83" i="1" s="1"/>
  <c r="L82" i="1"/>
  <c r="J82" i="1"/>
  <c r="C82" i="1"/>
  <c r="A82" i="1"/>
  <c r="M82" i="1" s="1"/>
  <c r="L81" i="1"/>
  <c r="J81" i="1"/>
  <c r="C81" i="1"/>
  <c r="A81" i="1"/>
  <c r="M81" i="1" s="1"/>
  <c r="L80" i="1"/>
  <c r="J80" i="1"/>
  <c r="C80" i="1"/>
  <c r="A80" i="1"/>
  <c r="M80" i="1" s="1"/>
  <c r="L79" i="1"/>
  <c r="J79" i="1"/>
  <c r="C79" i="1"/>
  <c r="A79" i="1"/>
  <c r="M79" i="1" s="1"/>
  <c r="L78" i="1"/>
  <c r="J78" i="1"/>
  <c r="C78" i="1"/>
  <c r="A78" i="1"/>
  <c r="M78" i="1" s="1"/>
  <c r="L77" i="1"/>
  <c r="J77" i="1"/>
  <c r="C77" i="1"/>
  <c r="A77" i="1"/>
  <c r="M77" i="1" s="1"/>
  <c r="L76" i="1"/>
  <c r="J76" i="1"/>
  <c r="C76" i="1"/>
  <c r="A76" i="1"/>
  <c r="M76" i="1" s="1"/>
  <c r="L75" i="1"/>
  <c r="J75" i="1"/>
  <c r="C75" i="1"/>
  <c r="A75" i="1"/>
  <c r="M75" i="1" s="1"/>
  <c r="L74" i="1"/>
  <c r="J74" i="1"/>
  <c r="C74" i="1"/>
  <c r="A74" i="1"/>
  <c r="M74" i="1" s="1"/>
  <c r="L73" i="1"/>
  <c r="J73" i="1"/>
  <c r="C73" i="1"/>
  <c r="A73" i="1"/>
  <c r="M73" i="1" s="1"/>
  <c r="L72" i="1"/>
  <c r="J72" i="1"/>
  <c r="C72" i="1"/>
  <c r="A72" i="1"/>
  <c r="M72" i="1" s="1"/>
  <c r="L71" i="1"/>
  <c r="J71" i="1"/>
  <c r="C71" i="1"/>
  <c r="A71" i="1"/>
  <c r="M71" i="1" s="1"/>
  <c r="L70" i="1"/>
  <c r="J70" i="1"/>
  <c r="C70" i="1"/>
  <c r="A70" i="1"/>
  <c r="M70" i="1" s="1"/>
  <c r="L69" i="1"/>
  <c r="J69" i="1"/>
  <c r="C69" i="1"/>
  <c r="A69" i="1"/>
  <c r="M69" i="1" s="1"/>
  <c r="L68" i="1"/>
  <c r="J68" i="1"/>
  <c r="C68" i="1"/>
  <c r="A68" i="1"/>
  <c r="M68" i="1" s="1"/>
  <c r="L67" i="1"/>
  <c r="J67" i="1"/>
  <c r="C67" i="1"/>
  <c r="A67" i="1"/>
  <c r="M67" i="1" s="1"/>
  <c r="L66" i="1"/>
  <c r="C66" i="1"/>
  <c r="A66" i="1"/>
  <c r="M66" i="1" s="1"/>
  <c r="L65" i="1"/>
  <c r="J65" i="1"/>
  <c r="C65" i="1"/>
  <c r="A65" i="1"/>
  <c r="M65" i="1" s="1"/>
  <c r="L64" i="1"/>
  <c r="J64" i="1"/>
  <c r="C64" i="1"/>
  <c r="A64" i="1"/>
  <c r="M64" i="1" s="1"/>
  <c r="L63" i="1"/>
  <c r="J63" i="1"/>
  <c r="C63" i="1"/>
  <c r="A63" i="1"/>
  <c r="M63" i="1" s="1"/>
  <c r="L62" i="1"/>
  <c r="J62" i="1"/>
  <c r="C62" i="1"/>
  <c r="A62" i="1"/>
  <c r="M62" i="1" s="1"/>
  <c r="L61" i="1"/>
  <c r="J61" i="1"/>
  <c r="C61" i="1"/>
  <c r="A61" i="1"/>
  <c r="M61" i="1" s="1"/>
  <c r="L60" i="1"/>
  <c r="J60" i="1"/>
  <c r="C60" i="1"/>
  <c r="A60" i="1"/>
  <c r="M60" i="1" s="1"/>
  <c r="L59" i="1"/>
  <c r="J59" i="1"/>
  <c r="C59" i="1"/>
  <c r="A59" i="1"/>
  <c r="M59" i="1" s="1"/>
  <c r="L58" i="1"/>
  <c r="J58" i="1"/>
  <c r="C58" i="1"/>
  <c r="A58" i="1"/>
  <c r="M58" i="1" s="1"/>
  <c r="L57" i="1"/>
  <c r="J57" i="1"/>
  <c r="C57" i="1"/>
  <c r="A57" i="1"/>
  <c r="M57" i="1" s="1"/>
  <c r="L56" i="1"/>
  <c r="J56" i="1"/>
  <c r="C56" i="1"/>
  <c r="A56" i="1"/>
  <c r="M56" i="1" s="1"/>
  <c r="C55" i="1"/>
  <c r="A55" i="1"/>
  <c r="M55" i="1" s="1"/>
  <c r="C54" i="1"/>
  <c r="A54" i="1"/>
  <c r="M54" i="1" s="1"/>
  <c r="C53" i="1"/>
  <c r="A53" i="1"/>
  <c r="M53" i="1" s="1"/>
  <c r="L52" i="1"/>
  <c r="J52" i="1"/>
  <c r="C52" i="1"/>
  <c r="A52" i="1"/>
  <c r="M52" i="1" s="1"/>
  <c r="M51" i="1"/>
  <c r="L51" i="1"/>
  <c r="J51" i="1"/>
  <c r="C51" i="1"/>
  <c r="A51" i="1"/>
  <c r="L50" i="1"/>
  <c r="J50" i="1"/>
  <c r="C50" i="1"/>
  <c r="A50" i="1"/>
  <c r="M50" i="1" s="1"/>
  <c r="L49" i="1"/>
  <c r="J49" i="1"/>
  <c r="C49" i="1"/>
  <c r="A49" i="1"/>
  <c r="M49" i="1" s="1"/>
  <c r="L48" i="1"/>
  <c r="J48" i="1"/>
  <c r="C48" i="1"/>
  <c r="A48" i="1"/>
  <c r="M48" i="1" s="1"/>
  <c r="L47" i="1"/>
  <c r="J47" i="1"/>
  <c r="C47" i="1"/>
  <c r="A47" i="1"/>
  <c r="M47" i="1" s="1"/>
  <c r="L46" i="1"/>
  <c r="J46" i="1"/>
  <c r="C46" i="1"/>
  <c r="A46" i="1"/>
  <c r="M46" i="1" s="1"/>
  <c r="L45" i="1"/>
  <c r="J45" i="1"/>
  <c r="C45" i="1"/>
  <c r="A45" i="1"/>
  <c r="M45" i="1" s="1"/>
  <c r="L44" i="1"/>
  <c r="J44" i="1"/>
  <c r="C44" i="1"/>
  <c r="A44" i="1"/>
  <c r="M44" i="1" s="1"/>
  <c r="L43" i="1"/>
  <c r="J43" i="1"/>
  <c r="C43" i="1"/>
  <c r="A43" i="1"/>
  <c r="M43" i="1" s="1"/>
  <c r="L42" i="1"/>
  <c r="J42" i="1"/>
  <c r="C42" i="1"/>
  <c r="A42" i="1"/>
  <c r="M42" i="1" s="1"/>
  <c r="L41" i="1"/>
  <c r="J41" i="1"/>
  <c r="C41" i="1"/>
  <c r="A41" i="1"/>
  <c r="M41" i="1" s="1"/>
  <c r="L40" i="1"/>
  <c r="J40" i="1"/>
  <c r="C40" i="1"/>
  <c r="A40" i="1"/>
  <c r="M40" i="1" s="1"/>
  <c r="L39" i="1"/>
  <c r="J39" i="1"/>
  <c r="C39" i="1"/>
  <c r="A39" i="1"/>
  <c r="M39" i="1" s="1"/>
  <c r="L38" i="1"/>
  <c r="J38" i="1"/>
  <c r="C38" i="1"/>
  <c r="A38" i="1"/>
  <c r="M38" i="1" s="1"/>
  <c r="M37" i="1"/>
  <c r="L37" i="1"/>
  <c r="J37" i="1"/>
  <c r="C37" i="1"/>
  <c r="A37" i="1"/>
  <c r="L36" i="1"/>
  <c r="J36" i="1"/>
  <c r="C36" i="1"/>
  <c r="A36" i="1"/>
  <c r="M36" i="1" s="1"/>
  <c r="L35" i="1"/>
  <c r="J35" i="1"/>
  <c r="C35" i="1"/>
  <c r="A35" i="1"/>
  <c r="M35" i="1" s="1"/>
  <c r="L34" i="1"/>
  <c r="J34" i="1"/>
  <c r="C34" i="1"/>
  <c r="A34" i="1"/>
  <c r="M34" i="1" s="1"/>
  <c r="L33" i="1"/>
  <c r="J33" i="1"/>
  <c r="C33" i="1"/>
  <c r="A33" i="1"/>
  <c r="M33" i="1" s="1"/>
  <c r="L32" i="1"/>
  <c r="J32" i="1"/>
  <c r="C32" i="1"/>
  <c r="A32" i="1"/>
  <c r="M32" i="1" s="1"/>
  <c r="L31" i="1"/>
  <c r="J31" i="1"/>
  <c r="C31" i="1"/>
  <c r="A31" i="1"/>
  <c r="M31" i="1" s="1"/>
  <c r="L30" i="1"/>
  <c r="J30" i="1"/>
  <c r="C30" i="1"/>
  <c r="A30" i="1"/>
  <c r="M30" i="1" s="1"/>
  <c r="L29" i="1"/>
  <c r="J29" i="1"/>
  <c r="C29" i="1"/>
  <c r="A29" i="1"/>
  <c r="M29" i="1" s="1"/>
  <c r="C28" i="1"/>
  <c r="A28" i="1"/>
  <c r="M28" i="1" s="1"/>
  <c r="C27" i="1"/>
  <c r="A27" i="1"/>
  <c r="M27" i="1" s="1"/>
  <c r="C26" i="1"/>
  <c r="A26" i="1"/>
  <c r="M26" i="1" s="1"/>
  <c r="M25" i="1"/>
  <c r="L25" i="1"/>
  <c r="J25" i="1"/>
  <c r="C25" i="1"/>
  <c r="A25" i="1"/>
  <c r="L24" i="1"/>
  <c r="J24" i="1"/>
  <c r="C24" i="1"/>
  <c r="A24" i="1"/>
  <c r="M24" i="1" s="1"/>
  <c r="L23" i="1"/>
  <c r="J23" i="1"/>
  <c r="C23" i="1"/>
  <c r="A23" i="1"/>
  <c r="M23" i="1" s="1"/>
  <c r="L22" i="1"/>
  <c r="J22" i="1"/>
  <c r="C22" i="1"/>
  <c r="A22" i="1"/>
  <c r="M22" i="1" s="1"/>
  <c r="L21" i="1"/>
  <c r="J21" i="1"/>
  <c r="C21" i="1"/>
  <c r="A21" i="1"/>
  <c r="M21" i="1" s="1"/>
  <c r="L20" i="1"/>
  <c r="J20" i="1"/>
  <c r="C20" i="1"/>
  <c r="A20" i="1"/>
  <c r="M20" i="1" s="1"/>
  <c r="L19" i="1"/>
  <c r="J19" i="1"/>
  <c r="C19" i="1"/>
  <c r="A19" i="1"/>
  <c r="M19" i="1" s="1"/>
  <c r="L18" i="1"/>
  <c r="J18" i="1"/>
  <c r="C18" i="1"/>
  <c r="A18" i="1"/>
  <c r="M18" i="1" s="1"/>
  <c r="L17" i="1"/>
  <c r="J17" i="1"/>
  <c r="C17" i="1"/>
  <c r="A17" i="1"/>
  <c r="M17" i="1" s="1"/>
  <c r="L16" i="1"/>
  <c r="J16" i="1"/>
  <c r="C16" i="1"/>
  <c r="A16" i="1"/>
  <c r="M16" i="1" s="1"/>
  <c r="L15" i="1"/>
  <c r="J15" i="1"/>
  <c r="C15" i="1"/>
  <c r="A15" i="1"/>
  <c r="M15" i="1" s="1"/>
  <c r="L14" i="1"/>
  <c r="J14" i="1"/>
  <c r="C14" i="1"/>
  <c r="A14" i="1"/>
  <c r="M14" i="1" s="1"/>
  <c r="L13" i="1"/>
  <c r="J13" i="1"/>
  <c r="C13" i="1"/>
  <c r="A13" i="1"/>
  <c r="M13" i="1" s="1"/>
  <c r="L12" i="1"/>
  <c r="J12" i="1"/>
  <c r="C12" i="1"/>
  <c r="A12" i="1"/>
  <c r="M12" i="1" s="1"/>
  <c r="L11" i="1"/>
  <c r="J11" i="1"/>
  <c r="C11" i="1"/>
  <c r="A11" i="1"/>
  <c r="M11" i="1" s="1"/>
  <c r="L10" i="1"/>
  <c r="J10" i="1"/>
  <c r="C10" i="1"/>
  <c r="A10" i="1"/>
  <c r="M10" i="1" s="1"/>
  <c r="L9" i="1"/>
  <c r="J9" i="1"/>
  <c r="C9" i="1"/>
  <c r="A9" i="1"/>
  <c r="M9" i="1" s="1"/>
  <c r="L8" i="1"/>
  <c r="J8" i="1"/>
  <c r="C8" i="1"/>
  <c r="A8" i="1"/>
  <c r="M8" i="1" s="1"/>
  <c r="L7" i="1"/>
  <c r="J7" i="1"/>
  <c r="C7" i="1"/>
  <c r="A7" i="1"/>
  <c r="M7" i="1" s="1"/>
  <c r="L6" i="1"/>
  <c r="J6" i="1"/>
  <c r="C6" i="1"/>
  <c r="A6" i="1"/>
  <c r="M6" i="1" s="1"/>
  <c r="L5" i="1"/>
  <c r="J5" i="1"/>
  <c r="C5" i="1"/>
  <c r="A5" i="1"/>
  <c r="M5" i="1" s="1"/>
  <c r="L4" i="1"/>
  <c r="J4" i="1"/>
  <c r="C4" i="1"/>
  <c r="A4" i="1"/>
  <c r="M4" i="1" s="1"/>
  <c r="L3" i="1"/>
  <c r="J3" i="1"/>
  <c r="C3" i="1"/>
  <c r="A3" i="1"/>
  <c r="M3" i="1" s="1"/>
  <c r="L2" i="1"/>
  <c r="J2" i="1"/>
  <c r="C2" i="1"/>
  <c r="A2" i="1"/>
  <c r="M2" i="1" s="1"/>
</calcChain>
</file>

<file path=xl/sharedStrings.xml><?xml version="1.0" encoding="utf-8"?>
<sst xmlns="http://schemas.openxmlformats.org/spreadsheetml/2006/main" count="795" uniqueCount="57">
  <si>
    <t>OPERAÇÃO</t>
  </si>
  <si>
    <t>NOME UNIDADE</t>
  </si>
  <si>
    <t>CÓD UNIDADE</t>
  </si>
  <si>
    <t>DONO DA META</t>
  </si>
  <si>
    <t>CÓD DONO DA META</t>
  </si>
  <si>
    <t>NÍVEL</t>
  </si>
  <si>
    <t>NOME SUPERIOR</t>
  </si>
  <si>
    <t>CÓD SUPERIOR</t>
  </si>
  <si>
    <t>RECEITA</t>
  </si>
  <si>
    <t>CÓD RECEITA</t>
  </si>
  <si>
    <t>SEGMENTO</t>
  </si>
  <si>
    <t>CÓD SEGMENTO</t>
  </si>
  <si>
    <t>TOTAL META</t>
  </si>
  <si>
    <t>META 2024 - 01</t>
  </si>
  <si>
    <t>META 2024 - 02</t>
  </si>
  <si>
    <t>META 2024 - 03</t>
  </si>
  <si>
    <t>META 2024 - 04</t>
  </si>
  <si>
    <t>META 2024 - 05</t>
  </si>
  <si>
    <t>META 2024 - 06</t>
  </si>
  <si>
    <t>META 2024 - 07</t>
  </si>
  <si>
    <t>META 2024 - 08</t>
  </si>
  <si>
    <t>META 2024 - 09</t>
  </si>
  <si>
    <t>META 2024 - 10</t>
  </si>
  <si>
    <t>META 2024 - 11</t>
  </si>
  <si>
    <t>META 2024 - 12</t>
  </si>
  <si>
    <t>TOTVS ZONA DA MATA MINEIRA</t>
  </si>
  <si>
    <t>WAGNER FERNANDES ZANONI</t>
  </si>
  <si>
    <t>T18041</t>
  </si>
  <si>
    <t>DSN</t>
  </si>
  <si>
    <t>CDU</t>
  </si>
  <si>
    <t>AGROINDUSTRIA</t>
  </si>
  <si>
    <t>CONSTRUCAO E PROJETOS</t>
  </si>
  <si>
    <t>DISTRIBUICAO</t>
  </si>
  <si>
    <t>EDUCACIONAL</t>
  </si>
  <si>
    <t>LOGISTICA</t>
  </si>
  <si>
    <t>MANUFATURA</t>
  </si>
  <si>
    <t>SERVICOS</t>
  </si>
  <si>
    <t>VAREJO</t>
  </si>
  <si>
    <t>SAAS</t>
  </si>
  <si>
    <t>SMS</t>
  </si>
  <si>
    <t>SERVICO</t>
  </si>
  <si>
    <t>NRF</t>
  </si>
  <si>
    <t>RRF</t>
  </si>
  <si>
    <t>MARCOS FELIPE FRAGA DA SILVA</t>
  </si>
  <si>
    <t>T30003</t>
  </si>
  <si>
    <t>GSN</t>
  </si>
  <si>
    <t>ALAN KELVIN MELO DOS SANTOS</t>
  </si>
  <si>
    <t>T23242</t>
  </si>
  <si>
    <t>ESN</t>
  </si>
  <si>
    <t>HELVIA MARA PEREIRA DOS SANTOS</t>
  </si>
  <si>
    <t>T30993</t>
  </si>
  <si>
    <t>MICHELE FERNANDES</t>
  </si>
  <si>
    <t>T31682</t>
  </si>
  <si>
    <t>VICTOR PEREIRA DO AMARAL</t>
  </si>
  <si>
    <t>T26534</t>
  </si>
  <si>
    <t>FELIPE MEDEIROS RIBEIRO</t>
  </si>
  <si>
    <t>T31994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</si>
</sst>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"/>
    <numFmt numFmtId="165" formatCode="_-* #,##0.0_-;\-* #,##0.0_-;_-* &quot;-&quot;??_-;_-@_-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9"/>
      <name val="Aptos Narrow"/>
      <family val="2"/>
      <scheme val="minor"/>
    </font>
    <font>
      <sz val="9"/>
      <color theme="1"/>
      <name val="Aptos Narrow"/>
      <family val="2"/>
      <scheme val="minor"/>
    </font>
    <font>
      <i/>
      <sz val="9"/>
      <color theme="0" tint="-0.49998474074526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7">
    <border>
      <left/>
      <right/>
      <top/>
      <bottom/>
      <diagonal/>
    </border>
    <border>
      <left style="thick">
        <color theme="0"/>
      </left>
      <right style="thick">
        <color theme="0"/>
      </right>
      <top/>
      <bottom style="thin">
        <color theme="6" tint="0.39997558519241921"/>
      </bottom>
      <diagonal/>
    </border>
    <border>
      <left style="thick">
        <color theme="0"/>
      </left>
      <right/>
      <top/>
      <bottom style="thin">
        <color theme="6" tint="0.39997558519241921"/>
      </bottom>
      <diagonal/>
    </border>
    <border>
      <left/>
      <right/>
      <top/>
      <bottom style="thin">
        <color theme="6" tint="0.39997558519241921"/>
      </bottom>
      <diagonal/>
    </border>
    <border>
      <left/>
      <right style="thick">
        <color theme="0"/>
      </right>
      <top/>
      <bottom style="thin">
        <color theme="6" tint="0.39997558519241921"/>
      </bottom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2" fillId="2" borderId="1" xfId="0" applyFont="1" applyFill="1" applyBorder="1" applyAlignment="1" applyProtection="1">
      <alignment horizontal="center" vertical="center" wrapText="1"/>
      <protection locked="0" hidden="1"/>
    </xf>
    <xf numFmtId="0" fontId="2" fillId="2" borderId="2" xfId="0" applyFont="1" applyFill="1" applyBorder="1" applyAlignment="1" applyProtection="1">
      <alignment horizontal="center" vertical="center" wrapText="1"/>
      <protection locked="0"/>
    </xf>
    <xf numFmtId="0" fontId="2" fillId="2" borderId="3" xfId="0" applyFont="1" applyFill="1" applyBorder="1" applyAlignment="1" applyProtection="1">
      <alignment horizontal="center" vertical="center" wrapText="1"/>
      <protection locked="0" hidden="1"/>
    </xf>
    <xf numFmtId="0" fontId="2" fillId="2" borderId="3" xfId="0" applyFont="1" applyFill="1" applyBorder="1" applyAlignment="1" applyProtection="1">
      <alignment horizontal="center" vertical="center" wrapText="1"/>
      <protection locked="0"/>
    </xf>
    <xf numFmtId="0" fontId="2" fillId="2" borderId="2" xfId="0" applyFont="1" applyFill="1" applyBorder="1" applyAlignment="1" applyProtection="1">
      <alignment horizontal="center" vertical="center" wrapText="1"/>
      <protection locked="0" hidden="1"/>
    </xf>
    <xf numFmtId="0" fontId="2" fillId="2" borderId="4" xfId="0" applyFont="1" applyFill="1" applyBorder="1" applyAlignment="1" applyProtection="1">
      <alignment horizontal="center" vertical="center" wrapText="1"/>
      <protection locked="0"/>
    </xf>
    <xf numFmtId="0" fontId="2" fillId="2" borderId="4" xfId="0" applyFont="1" applyFill="1" applyBorder="1" applyAlignment="1" applyProtection="1">
      <alignment horizontal="center" vertical="center" wrapText="1"/>
      <protection locked="0" hidden="1"/>
    </xf>
    <xf numFmtId="164" fontId="2" fillId="2" borderId="4" xfId="0" applyNumberFormat="1" applyFont="1" applyFill="1" applyBorder="1" applyAlignment="1" applyProtection="1">
      <alignment horizontal="center" vertical="center" wrapText="1"/>
      <protection locked="0" hidden="1"/>
    </xf>
    <xf numFmtId="165" fontId="2" fillId="2" borderId="3" xfId="1" applyNumberFormat="1" applyFont="1" applyFill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/>
      <protection hidden="1"/>
    </xf>
    <xf numFmtId="0" fontId="4" fillId="0" borderId="6" xfId="0" applyFont="1" applyBorder="1" applyAlignment="1">
      <alignment horizontal="center"/>
    </xf>
    <xf numFmtId="0" fontId="4" fillId="0" borderId="6" xfId="0" applyFont="1" applyBorder="1" applyAlignment="1" applyProtection="1">
      <alignment horizontal="center"/>
      <protection hidden="1"/>
    </xf>
    <xf numFmtId="0" fontId="4" fillId="0" borderId="6" xfId="0" applyFont="1" applyBorder="1" applyAlignment="1" applyProtection="1">
      <alignment horizontal="center"/>
      <protection locked="0"/>
    </xf>
    <xf numFmtId="164" fontId="5" fillId="0" borderId="6" xfId="0" applyNumberFormat="1" applyFont="1" applyBorder="1" applyAlignment="1" applyProtection="1">
      <alignment horizontal="center"/>
      <protection hidden="1"/>
    </xf>
    <xf numFmtId="165" fontId="4" fillId="0" borderId="6" xfId="1" applyNumberFormat="1" applyFont="1" applyFill="1" applyBorder="1" applyAlignment="1" applyProtection="1">
      <alignment horizontal="center"/>
    </xf>
    <xf numFmtId="165" fontId="4" fillId="0" borderId="6" xfId="1" applyNumberFormat="1" applyFont="1" applyFill="1" applyBorder="1" applyAlignment="1" applyProtection="1">
      <alignment horizontal="center"/>
      <protection locked="0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aniloprates/Downloads/Base%20de%20Metas%202026%20-%20Franquias%20-%20ZMM%20-%20TOTVS%20LESTE%20(3).xlsb" TargetMode="External"/><Relationship Id="rId1" Type="http://schemas.openxmlformats.org/officeDocument/2006/relationships/externalLinkPath" Target="Base%20de%20Metas%202026%20-%20Franquias%20-%20ZMM%20-%20TOTVS%20LESTE%20(3).xlsb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joopa/Downloads/Base%20de%20Metas%202026%20-%20Franquias%20-%20ZMM%20-%20TOTVS%20LESTE%20-%20Victor%20x%20Felipe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ientações"/>
      <sheetName val="BASE DE DADOS - Time Comercial"/>
      <sheetName val="Sazon. Unidade"/>
      <sheetName val="aux"/>
      <sheetName val="DIN1"/>
      <sheetName val="DIN2"/>
      <sheetName val="BUFFER"/>
    </sheetNames>
    <sheetDataSet>
      <sheetData sheetId="0"/>
      <sheetData sheetId="1"/>
      <sheetData sheetId="2"/>
      <sheetData sheetId="3">
        <row r="1">
          <cell r="A1" t="str">
            <v>RECEITA</v>
          </cell>
          <cell r="B1" t="str">
            <v>COD RECEITA</v>
          </cell>
          <cell r="D1" t="str">
            <v>SEGMENTO</v>
          </cell>
          <cell r="E1" t="str">
            <v>COD SEGMENTO</v>
          </cell>
          <cell r="G1" t="str">
            <v>UNIDADE</v>
          </cell>
          <cell r="H1" t="str">
            <v>COD UNIDADE</v>
          </cell>
        </row>
        <row r="2">
          <cell r="A2" t="str">
            <v>CDU</v>
          </cell>
          <cell r="B2" t="str">
            <v>0203</v>
          </cell>
          <cell r="D2" t="str">
            <v>CONSTRUCAO E PROJETOS</v>
          </cell>
          <cell r="E2" t="str">
            <v>000005</v>
          </cell>
          <cell r="G2" t="str">
            <v>TOTVS RS - SERRA GAUCHA</v>
          </cell>
          <cell r="H2" t="str">
            <v>TSL112</v>
          </cell>
        </row>
        <row r="3">
          <cell r="A3" t="str">
            <v>SMS</v>
          </cell>
          <cell r="B3" t="str">
            <v>0303</v>
          </cell>
          <cell r="D3" t="str">
            <v>EDUCACIONAL</v>
          </cell>
          <cell r="E3" t="str">
            <v>000003</v>
          </cell>
          <cell r="G3" t="str">
            <v>TOTVS AMAZONAS</v>
          </cell>
          <cell r="H3" t="str">
            <v>TNT104</v>
          </cell>
        </row>
        <row r="4">
          <cell r="A4" t="str">
            <v>SERV REC</v>
          </cell>
          <cell r="B4" t="str">
            <v>0702</v>
          </cell>
          <cell r="D4" t="str">
            <v>SERVICOS</v>
          </cell>
          <cell r="E4" t="str">
            <v>000010</v>
          </cell>
          <cell r="G4" t="str">
            <v>TOTVS BAHIA_ILHEUS</v>
          </cell>
          <cell r="H4" t="str">
            <v>TSE340</v>
          </cell>
        </row>
        <row r="5">
          <cell r="A5" t="str">
            <v>SAAS</v>
          </cell>
          <cell r="B5" t="str">
            <v>0258</v>
          </cell>
          <cell r="D5" t="str">
            <v>AGROINDUSTRIA</v>
          </cell>
          <cell r="E5" t="str">
            <v>000002</v>
          </cell>
          <cell r="G5" t="str">
            <v>TOTVS BAURU</v>
          </cell>
          <cell r="H5" t="str">
            <v>TSE115</v>
          </cell>
        </row>
        <row r="6">
          <cell r="D6" t="str">
            <v>LOGISTICA</v>
          </cell>
          <cell r="E6" t="str">
            <v>000014</v>
          </cell>
          <cell r="G6" t="str">
            <v>TOTVS CASCAVEL_2</v>
          </cell>
          <cell r="H6" t="str">
            <v>TSL115</v>
          </cell>
        </row>
        <row r="7">
          <cell r="D7" t="str">
            <v>MANUFATURA</v>
          </cell>
          <cell r="E7" t="str">
            <v>000001</v>
          </cell>
          <cell r="G7" t="str">
            <v>TOTVS CEARA</v>
          </cell>
          <cell r="H7" t="str">
            <v>TNE106</v>
          </cell>
        </row>
        <row r="8">
          <cell r="D8" t="str">
            <v>DISTRIBUICAO</v>
          </cell>
          <cell r="E8" t="str">
            <v>000013</v>
          </cell>
          <cell r="G8" t="str">
            <v>TOTVS CENTRO OESTE DE MINAS</v>
          </cell>
          <cell r="H8" t="str">
            <v>TSE102</v>
          </cell>
        </row>
        <row r="9">
          <cell r="D9" t="str">
            <v>VAREJO</v>
          </cell>
          <cell r="E9" t="str">
            <v>000009</v>
          </cell>
          <cell r="G9" t="str">
            <v>TOTVS CENTRO-NORTE DE MINAS</v>
          </cell>
          <cell r="H9" t="str">
            <v>TSE121</v>
          </cell>
        </row>
        <row r="10">
          <cell r="D10" t="str">
            <v>JURIDICO</v>
          </cell>
          <cell r="E10" t="str">
            <v>000007</v>
          </cell>
          <cell r="G10" t="str">
            <v>TOTVS CURITIBA</v>
          </cell>
          <cell r="H10" t="str">
            <v>TSL105</v>
          </cell>
        </row>
        <row r="11">
          <cell r="D11" t="str">
            <v>SAUDE</v>
          </cell>
          <cell r="E11" t="str">
            <v>000004</v>
          </cell>
          <cell r="G11" t="str">
            <v>TOTVS ESPIRITO SANTO</v>
          </cell>
          <cell r="H11" t="str">
            <v>TSE341</v>
          </cell>
        </row>
        <row r="12">
          <cell r="D12" t="str">
            <v>SUPERMERCADOS</v>
          </cell>
          <cell r="E12" t="str">
            <v>-</v>
          </cell>
          <cell r="G12" t="str">
            <v>TOTVS GOIAS</v>
          </cell>
          <cell r="H12" t="str">
            <v>TCO103</v>
          </cell>
        </row>
        <row r="13">
          <cell r="G13" t="str">
            <v>TOTVS IBIRAPUERA</v>
          </cell>
          <cell r="H13" t="str">
            <v>TSE400</v>
          </cell>
        </row>
        <row r="14">
          <cell r="G14" t="str">
            <v>TOTVS INTERIOR PAULISTA - CAMPINAS</v>
          </cell>
          <cell r="H14" t="str">
            <v>TSE108</v>
          </cell>
        </row>
        <row r="15">
          <cell r="G15" t="str">
            <v>TOTVS INTERIOR PAULISTA - JUNDIAI</v>
          </cell>
          <cell r="H15" t="str">
            <v>TSE111</v>
          </cell>
        </row>
        <row r="16">
          <cell r="G16" t="str">
            <v>TOTVS INTERIOR PAULISTA - LIMEIRA</v>
          </cell>
          <cell r="H16" t="str">
            <v>TSE109</v>
          </cell>
        </row>
        <row r="17">
          <cell r="G17" t="str">
            <v>TOTVS INTERIOR PAULISTA - RIBEIRAO PRETO</v>
          </cell>
          <cell r="H17" t="str">
            <v>TSE110</v>
          </cell>
        </row>
        <row r="18">
          <cell r="G18" t="str">
            <v>TOTVS INTERIOR PAULISTA - SOROCABA</v>
          </cell>
          <cell r="H18" t="str">
            <v>TSE112</v>
          </cell>
        </row>
        <row r="19">
          <cell r="G19" t="str">
            <v>TOTVS JURITIS GENERICO NORDESTE</v>
          </cell>
          <cell r="H19" t="str">
            <v>TSE339</v>
          </cell>
        </row>
        <row r="20">
          <cell r="G20" t="str">
            <v>TOTVS JURITIS GENERICO SUL</v>
          </cell>
          <cell r="H20" t="str">
            <v>TSE300</v>
          </cell>
        </row>
        <row r="21">
          <cell r="G21" t="str">
            <v>TOTVS JURITIS RJ</v>
          </cell>
          <cell r="H21" t="str">
            <v>TSE202</v>
          </cell>
        </row>
        <row r="22">
          <cell r="G22" t="str">
            <v>TOTVS JURITIS SP</v>
          </cell>
          <cell r="H22" t="str">
            <v>TSE201</v>
          </cell>
        </row>
        <row r="23">
          <cell r="G23" t="str">
            <v>TOTVS LESTE DE MINAS</v>
          </cell>
          <cell r="H23" t="str">
            <v>TSE105</v>
          </cell>
        </row>
        <row r="24">
          <cell r="G24" t="str">
            <v>TOTVS LONDRINA_2</v>
          </cell>
          <cell r="H24" t="str">
            <v>TSL116</v>
          </cell>
        </row>
        <row r="25">
          <cell r="G25" t="str">
            <v>TOTVS MARANHAO</v>
          </cell>
          <cell r="H25" t="str">
            <v>TNE103</v>
          </cell>
        </row>
        <row r="26">
          <cell r="G26" t="str">
            <v>TOTVS MATO GROSSO</v>
          </cell>
          <cell r="H26" t="str">
            <v>TCO101</v>
          </cell>
        </row>
        <row r="27">
          <cell r="G27" t="str">
            <v>TOTVS MATO GROSSO DO SUL</v>
          </cell>
          <cell r="H27" t="str">
            <v>TCO102</v>
          </cell>
        </row>
        <row r="28">
          <cell r="G28" t="str">
            <v>TOTVS NACOES UNIDAS</v>
          </cell>
          <cell r="H28" t="str">
            <v>TSE401</v>
          </cell>
        </row>
        <row r="29">
          <cell r="G29" t="str">
            <v>TOTVS NORTE FLUMINENSE_2</v>
          </cell>
          <cell r="H29" t="str">
            <v>TSE404</v>
          </cell>
        </row>
        <row r="30">
          <cell r="G30" t="str">
            <v>TOTVS PARA</v>
          </cell>
          <cell r="H30" t="str">
            <v>TNT106</v>
          </cell>
        </row>
        <row r="31">
          <cell r="G31" t="str">
            <v>TOTVS PARA DISTRIBUICAO</v>
          </cell>
          <cell r="H31" t="str">
            <v>TNT200</v>
          </cell>
        </row>
        <row r="32">
          <cell r="G32" t="str">
            <v>TOTVS PARAIBA</v>
          </cell>
          <cell r="H32" t="str">
            <v>TNE108</v>
          </cell>
        </row>
        <row r="33">
          <cell r="G33" t="str">
            <v>TOTVS RIO GRANDE DO NORTE</v>
          </cell>
          <cell r="H33" t="str">
            <v>TNE105</v>
          </cell>
        </row>
        <row r="34">
          <cell r="G34" t="str">
            <v>TOTVS RIO PRETO</v>
          </cell>
          <cell r="H34" t="str">
            <v>TSE402</v>
          </cell>
        </row>
        <row r="35">
          <cell r="G35" t="str">
            <v>TOTVS RS - PORTO ALEGRE</v>
          </cell>
          <cell r="H35" t="str">
            <v>TSL110</v>
          </cell>
        </row>
        <row r="36">
          <cell r="G36" t="str">
            <v>TOTVS SANTA CATARINA</v>
          </cell>
          <cell r="H36" t="str">
            <v>TSL101</v>
          </cell>
        </row>
        <row r="37">
          <cell r="G37" t="str">
            <v>TOTVS SERGIPE</v>
          </cell>
          <cell r="H37" t="str">
            <v>TNE109</v>
          </cell>
        </row>
        <row r="38">
          <cell r="G38" t="str">
            <v>TOTVS SERRA DO MAR</v>
          </cell>
          <cell r="H38" t="str">
            <v>TSE018</v>
          </cell>
        </row>
        <row r="39">
          <cell r="G39" t="str">
            <v>TOTVS SUL DE MINAS</v>
          </cell>
          <cell r="H39" t="str">
            <v>TSE103</v>
          </cell>
        </row>
        <row r="40">
          <cell r="G40" t="str">
            <v>TOTVS SUL FLUMINENSE</v>
          </cell>
          <cell r="H40" t="str">
            <v>TSE106</v>
          </cell>
        </row>
        <row r="41">
          <cell r="G41" t="str">
            <v>TOTVS SUPERMERCADOS BAHIA</v>
          </cell>
          <cell r="H41" t="str">
            <v>CSO002</v>
          </cell>
        </row>
        <row r="42">
          <cell r="G42" t="str">
            <v>TOTVS TRIANGULO MINEIRO E ALTO PARANAIBA</v>
          </cell>
          <cell r="H42" t="str">
            <v>TSE101</v>
          </cell>
        </row>
        <row r="43">
          <cell r="G43" t="str">
            <v>TOTVS UNIDADE BRASILIA_2</v>
          </cell>
          <cell r="H43" t="str">
            <v>TCO200</v>
          </cell>
        </row>
        <row r="44">
          <cell r="G44" t="str">
            <v>TOTVS UNIDADE TOCANTINS</v>
          </cell>
          <cell r="H44" t="str">
            <v>TNT108</v>
          </cell>
        </row>
        <row r="45">
          <cell r="G45" t="str">
            <v>TOTVS VALE DO PARAIBA</v>
          </cell>
          <cell r="H45" t="str">
            <v>TSE124</v>
          </cell>
        </row>
        <row r="46">
          <cell r="G46" t="str">
            <v>TOTVS ZONA DA MATA MINEIRA</v>
          </cell>
          <cell r="H46" t="str">
            <v>TSE104</v>
          </cell>
        </row>
        <row r="47">
          <cell r="G47" t="str">
            <v>TOTVS BRASIL CENTRAL AGRO</v>
          </cell>
          <cell r="H47" t="str">
            <v>TCO201</v>
          </cell>
        </row>
        <row r="48">
          <cell r="G48" t="str">
            <v>TOTVS BRASIL CENTRAL AGRO – BRASILIA</v>
          </cell>
          <cell r="H48" t="str">
            <v>TCO202</v>
          </cell>
        </row>
        <row r="49">
          <cell r="G49" t="str">
            <v>TOTVS BRASIL CENTRAL AGRO – GOIAS</v>
          </cell>
          <cell r="H49" t="str">
            <v>TCO201</v>
          </cell>
        </row>
      </sheetData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entações"/>
      <sheetName val="BASE DE DADOS - Time Comercial"/>
      <sheetName val="Sazon. Unidade"/>
      <sheetName val="aux"/>
      <sheetName val="DIN1"/>
      <sheetName val="DIN2"/>
      <sheetName val="BUFFER"/>
    </sheetNames>
    <sheetDataSet>
      <sheetData sheetId="0" refreshError="1"/>
      <sheetData sheetId="1" refreshError="1"/>
      <sheetData sheetId="2" refreshError="1"/>
      <sheetData sheetId="3" refreshError="1">
        <row r="1">
          <cell r="A1" t="str">
            <v>RECEITA</v>
          </cell>
          <cell r="B1" t="str">
            <v>COD RECEITA</v>
          </cell>
          <cell r="D1" t="str">
            <v>SEGMENTO</v>
          </cell>
          <cell r="E1" t="str">
            <v>COD SEGMENTO</v>
          </cell>
          <cell r="G1" t="str">
            <v>UNIDADE</v>
          </cell>
          <cell r="H1" t="str">
            <v>COD UNIDADE</v>
          </cell>
        </row>
        <row r="2">
          <cell r="A2" t="str">
            <v>CDU</v>
          </cell>
          <cell r="B2" t="str">
            <v>0203</v>
          </cell>
          <cell r="D2" t="str">
            <v>CONSTRUCAO E PROJETOS</v>
          </cell>
          <cell r="E2" t="str">
            <v>000005</v>
          </cell>
          <cell r="G2" t="str">
            <v>TOTVS RS - SERRA GAUCHA</v>
          </cell>
          <cell r="H2" t="str">
            <v>TSL112</v>
          </cell>
        </row>
        <row r="3">
          <cell r="A3" t="str">
            <v>SMS</v>
          </cell>
          <cell r="B3" t="str">
            <v>0303</v>
          </cell>
          <cell r="D3" t="str">
            <v>EDUCACIONAL</v>
          </cell>
          <cell r="E3" t="str">
            <v>000003</v>
          </cell>
          <cell r="G3" t="str">
            <v>TOTVS AMAZONAS</v>
          </cell>
          <cell r="H3" t="str">
            <v>TNT104</v>
          </cell>
        </row>
        <row r="4">
          <cell r="A4" t="str">
            <v>SERV REC</v>
          </cell>
          <cell r="B4" t="str">
            <v>0702</v>
          </cell>
          <cell r="D4" t="str">
            <v>SERVICOS</v>
          </cell>
          <cell r="E4" t="str">
            <v>000010</v>
          </cell>
          <cell r="G4" t="str">
            <v>TOTVS BAHIA_ILHEUS</v>
          </cell>
          <cell r="H4" t="str">
            <v>TSE340</v>
          </cell>
        </row>
        <row r="5">
          <cell r="A5" t="str">
            <v>SAAS</v>
          </cell>
          <cell r="B5" t="str">
            <v>0258</v>
          </cell>
          <cell r="D5" t="str">
            <v>AGROINDUSTRIA</v>
          </cell>
          <cell r="E5" t="str">
            <v>000002</v>
          </cell>
          <cell r="G5" t="str">
            <v>TOTVS BAURU</v>
          </cell>
          <cell r="H5" t="str">
            <v>TSE115</v>
          </cell>
        </row>
        <row r="6">
          <cell r="D6" t="str">
            <v>LOGISTICA</v>
          </cell>
          <cell r="E6" t="str">
            <v>000014</v>
          </cell>
          <cell r="G6" t="str">
            <v>TOTVS CASCAVEL_2</v>
          </cell>
          <cell r="H6" t="str">
            <v>TSL115</v>
          </cell>
        </row>
        <row r="7">
          <cell r="D7" t="str">
            <v>MANUFATURA</v>
          </cell>
          <cell r="E7" t="str">
            <v>000001</v>
          </cell>
          <cell r="G7" t="str">
            <v>TOTVS CEARA</v>
          </cell>
          <cell r="H7" t="str">
            <v>TNE106</v>
          </cell>
        </row>
        <row r="8">
          <cell r="D8" t="str">
            <v>DISTRIBUICAO</v>
          </cell>
          <cell r="E8" t="str">
            <v>000013</v>
          </cell>
          <cell r="G8" t="str">
            <v>TOTVS CENTRO OESTE DE MINAS</v>
          </cell>
          <cell r="H8" t="str">
            <v>TSE102</v>
          </cell>
        </row>
        <row r="9">
          <cell r="D9" t="str">
            <v>VAREJO</v>
          </cell>
          <cell r="E9" t="str">
            <v>000009</v>
          </cell>
          <cell r="G9" t="str">
            <v>TOTVS CENTRO-NORTE DE MINAS</v>
          </cell>
          <cell r="H9" t="str">
            <v>TSE121</v>
          </cell>
        </row>
        <row r="10">
          <cell r="D10" t="str">
            <v>JURIDICO</v>
          </cell>
          <cell r="E10" t="str">
            <v>000007</v>
          </cell>
          <cell r="G10" t="str">
            <v>TOTVS CURITIBA</v>
          </cell>
          <cell r="H10" t="str">
            <v>TSL105</v>
          </cell>
        </row>
        <row r="11">
          <cell r="D11" t="str">
            <v>SAUDE</v>
          </cell>
          <cell r="E11" t="str">
            <v>000004</v>
          </cell>
          <cell r="G11" t="str">
            <v>TOTVS ESPIRITO SANTO</v>
          </cell>
          <cell r="H11" t="str">
            <v>TSE341</v>
          </cell>
        </row>
        <row r="12">
          <cell r="D12" t="str">
            <v>SUPERMERCADOS</v>
          </cell>
          <cell r="E12" t="str">
            <v>-</v>
          </cell>
          <cell r="G12" t="str">
            <v>TOTVS GOIAS</v>
          </cell>
          <cell r="H12" t="str">
            <v>TCO103</v>
          </cell>
        </row>
        <row r="13">
          <cell r="G13" t="str">
            <v>TOTVS IBIRAPUERA</v>
          </cell>
          <cell r="H13" t="str">
            <v>TSE400</v>
          </cell>
        </row>
        <row r="14">
          <cell r="G14" t="str">
            <v>TOTVS INTERIOR PAULISTA - CAMPINAS</v>
          </cell>
          <cell r="H14" t="str">
            <v>TSE108</v>
          </cell>
        </row>
        <row r="15">
          <cell r="G15" t="str">
            <v>TOTVS INTERIOR PAULISTA - JUNDIAI</v>
          </cell>
          <cell r="H15" t="str">
            <v>TSE111</v>
          </cell>
        </row>
        <row r="16">
          <cell r="G16" t="str">
            <v>TOTVS INTERIOR PAULISTA - LIMEIRA</v>
          </cell>
          <cell r="H16" t="str">
            <v>TSE109</v>
          </cell>
        </row>
        <row r="17">
          <cell r="G17" t="str">
            <v>TOTVS INTERIOR PAULISTA - RIBEIRAO PRETO</v>
          </cell>
          <cell r="H17" t="str">
            <v>TSE110</v>
          </cell>
        </row>
        <row r="18">
          <cell r="G18" t="str">
            <v>TOTVS INTERIOR PAULISTA - SOROCABA</v>
          </cell>
          <cell r="H18" t="str">
            <v>TSE112</v>
          </cell>
        </row>
        <row r="19">
          <cell r="G19" t="str">
            <v>TOTVS JURITIS GENERICO NORDESTE</v>
          </cell>
          <cell r="H19" t="str">
            <v>TSE339</v>
          </cell>
        </row>
        <row r="20">
          <cell r="G20" t="str">
            <v>TOTVS JURITIS GENERICO SUL</v>
          </cell>
          <cell r="H20" t="str">
            <v>TSE300</v>
          </cell>
        </row>
        <row r="21">
          <cell r="G21" t="str">
            <v>TOTVS JURITIS RJ</v>
          </cell>
          <cell r="H21" t="str">
            <v>TSE202</v>
          </cell>
        </row>
        <row r="22">
          <cell r="G22" t="str">
            <v>TOTVS JURITIS SP</v>
          </cell>
          <cell r="H22" t="str">
            <v>TSE201</v>
          </cell>
        </row>
        <row r="23">
          <cell r="G23" t="str">
            <v>TOTVS LESTE DE MINAS</v>
          </cell>
          <cell r="H23" t="str">
            <v>TSE105</v>
          </cell>
        </row>
        <row r="24">
          <cell r="G24" t="str">
            <v>TOTVS LONDRINA_2</v>
          </cell>
          <cell r="H24" t="str">
            <v>TSL116</v>
          </cell>
        </row>
        <row r="25">
          <cell r="G25" t="str">
            <v>TOTVS MARANHAO</v>
          </cell>
          <cell r="H25" t="str">
            <v>TNE103</v>
          </cell>
        </row>
        <row r="26">
          <cell r="G26" t="str">
            <v>TOTVS MATO GROSSO</v>
          </cell>
          <cell r="H26" t="str">
            <v>TCO101</v>
          </cell>
        </row>
        <row r="27">
          <cell r="G27" t="str">
            <v>TOTVS MATO GROSSO DO SUL</v>
          </cell>
          <cell r="H27" t="str">
            <v>TCO102</v>
          </cell>
        </row>
        <row r="28">
          <cell r="G28" t="str">
            <v>TOTVS NACOES UNIDAS</v>
          </cell>
          <cell r="H28" t="str">
            <v>TSE401</v>
          </cell>
        </row>
        <row r="29">
          <cell r="G29" t="str">
            <v>TOTVS NORTE FLUMINENSE_2</v>
          </cell>
          <cell r="H29" t="str">
            <v>TSE404</v>
          </cell>
        </row>
        <row r="30">
          <cell r="G30" t="str">
            <v>TOTVS PARA</v>
          </cell>
          <cell r="H30" t="str">
            <v>TNT106</v>
          </cell>
        </row>
        <row r="31">
          <cell r="G31" t="str">
            <v>TOTVS PARA DISTRIBUICAO</v>
          </cell>
          <cell r="H31" t="str">
            <v>TNT200</v>
          </cell>
        </row>
        <row r="32">
          <cell r="G32" t="str">
            <v>TOTVS PARAIBA</v>
          </cell>
          <cell r="H32" t="str">
            <v>TNE108</v>
          </cell>
        </row>
        <row r="33">
          <cell r="G33" t="str">
            <v>TOTVS RIO GRANDE DO NORTE</v>
          </cell>
          <cell r="H33" t="str">
            <v>TNE105</v>
          </cell>
        </row>
        <row r="34">
          <cell r="G34" t="str">
            <v>TOTVS RIO PRETO</v>
          </cell>
          <cell r="H34" t="str">
            <v>TSE402</v>
          </cell>
        </row>
        <row r="35">
          <cell r="G35" t="str">
            <v>TOTVS RS - PORTO ALEGRE</v>
          </cell>
          <cell r="H35" t="str">
            <v>TSL110</v>
          </cell>
        </row>
        <row r="36">
          <cell r="G36" t="str">
            <v>TOTVS SANTA CATARINA</v>
          </cell>
          <cell r="H36" t="str">
            <v>TSL101</v>
          </cell>
        </row>
        <row r="37">
          <cell r="G37" t="str">
            <v>TOTVS SERGIPE</v>
          </cell>
          <cell r="H37" t="str">
            <v>TNE109</v>
          </cell>
        </row>
        <row r="38">
          <cell r="G38" t="str">
            <v>TOTVS SERRA DO MAR</v>
          </cell>
          <cell r="H38" t="str">
            <v>TSE018</v>
          </cell>
        </row>
        <row r="39">
          <cell r="G39" t="str">
            <v>TOTVS SUL DE MINAS</v>
          </cell>
          <cell r="H39" t="str">
            <v>TSE103</v>
          </cell>
        </row>
        <row r="40">
          <cell r="G40" t="str">
            <v>TOTVS SUL FLUMINENSE</v>
          </cell>
          <cell r="H40" t="str">
            <v>TSE106</v>
          </cell>
        </row>
        <row r="41">
          <cell r="G41" t="str">
            <v>TOTVS SUPERMERCADOS BAHIA</v>
          </cell>
          <cell r="H41" t="str">
            <v>CSO002</v>
          </cell>
        </row>
        <row r="42">
          <cell r="G42" t="str">
            <v>TOTVS TRIANGULO MINEIRO E ALTO PARANAIBA</v>
          </cell>
          <cell r="H42" t="str">
            <v>TSE101</v>
          </cell>
        </row>
        <row r="43">
          <cell r="G43" t="str">
            <v>TOTVS UNIDADE BRASILIA_2</v>
          </cell>
          <cell r="H43" t="str">
            <v>TCO200</v>
          </cell>
        </row>
        <row r="44">
          <cell r="G44" t="str">
            <v>TOTVS UNIDADE TOCANTINS</v>
          </cell>
          <cell r="H44" t="str">
            <v>TNT108</v>
          </cell>
        </row>
        <row r="45">
          <cell r="G45" t="str">
            <v>TOTVS VALE DO PARAIBA</v>
          </cell>
          <cell r="H45" t="str">
            <v>TSE124</v>
          </cell>
        </row>
        <row r="46">
          <cell r="G46" t="str">
            <v>TOTVS ZONA DA MATA MINEIRA</v>
          </cell>
          <cell r="H46" t="str">
            <v>TSE104</v>
          </cell>
        </row>
        <row r="47">
          <cell r="G47" t="str">
            <v>TOTVS BRASIL CENTRAL AGRO</v>
          </cell>
          <cell r="H47" t="str">
            <v>TCO201</v>
          </cell>
        </row>
        <row r="48">
          <cell r="G48" t="str">
            <v>TOTVS BRASIL CENTRAL AGRO – BRASILIA</v>
          </cell>
          <cell r="H48" t="str">
            <v>TCO202</v>
          </cell>
        </row>
        <row r="49">
          <cell r="G49" t="str">
            <v>TOTVS BRASIL CENTRAL AGRO – GOIAS</v>
          </cell>
          <cell r="H49" t="str">
            <v>TCO201</v>
          </cell>
        </row>
      </sheetData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76C5D-EC59-F24A-B2C0-81396F54BFA7}">
  <dimension ref="A1:Y104"/>
  <sheetViews>
    <sheetView tabSelected="1" workbookViewId="0">
      <selection activeCell="J74" sqref="J74"/>
    </sheetView>
  </sheetViews>
  <sheetFormatPr baseColWidth="10" defaultRowHeight="16" x14ac:dyDescent="0.2"/>
  <sheetData>
    <row r="1" spans="1:25" ht="28" x14ac:dyDescent="0.2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6" t="s">
        <v>10</v>
      </c>
      <c r="L1" s="7" t="s">
        <v>11</v>
      </c>
      <c r="M1" s="8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</row>
    <row r="2" spans="1:25" x14ac:dyDescent="0.2">
      <c r="A2" s="10" t="str">
        <f>IF(B2&lt;&gt;"","FRANQUIA","")</f>
        <v>FRANQUIA</v>
      </c>
      <c r="B2" s="11" t="s">
        <v>25</v>
      </c>
      <c r="C2" s="12" t="str">
        <f>IFERROR(VLOOKUP(B2,[1]aux!$G$1:$H$55,2,FALSE),"")</f>
        <v>TSE104</v>
      </c>
      <c r="D2" s="13" t="s">
        <v>26</v>
      </c>
      <c r="E2" s="13" t="s">
        <v>27</v>
      </c>
      <c r="F2" s="11" t="s">
        <v>28</v>
      </c>
      <c r="G2" s="11"/>
      <c r="H2" s="11"/>
      <c r="I2" s="11" t="s">
        <v>29</v>
      </c>
      <c r="J2" s="12" t="str">
        <f>IFERROR(VLOOKUP(I2,[1]aux!$A$1:$B$5,2,FALSE),"")</f>
        <v>0203</v>
      </c>
      <c r="K2" s="11" t="s">
        <v>30</v>
      </c>
      <c r="L2" s="12" t="str">
        <f>IFERROR(VLOOKUP(K2,[1]aux!$D$1:$E$12,2,FALSE),"")</f>
        <v>000002</v>
      </c>
      <c r="M2" s="14">
        <f>IF(OR($A2&lt;&gt;"",$B2&lt;&gt;""),SUM(N2:Y2),"")</f>
        <v>5605.8842080336026</v>
      </c>
      <c r="N2" s="15">
        <v>840.88263120504018</v>
      </c>
      <c r="O2" s="15">
        <v>420.44131560252009</v>
      </c>
      <c r="P2" s="15">
        <v>420.44131560252009</v>
      </c>
      <c r="Q2" s="15">
        <v>420.44131560252009</v>
      </c>
      <c r="R2" s="15">
        <v>420.44131560252009</v>
      </c>
      <c r="S2" s="15">
        <v>504.52957872302414</v>
      </c>
      <c r="T2" s="15">
        <v>420.44131560252009</v>
      </c>
      <c r="U2" s="15">
        <v>420.44131560252009</v>
      </c>
      <c r="V2" s="15">
        <v>504.52957872302414</v>
      </c>
      <c r="W2" s="15">
        <v>392.41189456235213</v>
      </c>
      <c r="X2" s="15">
        <v>392.41189456235213</v>
      </c>
      <c r="Y2" s="15">
        <v>448.47073664268817</v>
      </c>
    </row>
    <row r="3" spans="1:25" x14ac:dyDescent="0.2">
      <c r="A3" s="10" t="str">
        <f t="shared" ref="A3:A66" si="0">IF(B3&lt;&gt;"","FRANQUIA","")</f>
        <v>FRANQUIA</v>
      </c>
      <c r="B3" s="11" t="s">
        <v>25</v>
      </c>
      <c r="C3" s="12" t="str">
        <f>IFERROR(VLOOKUP(B3,[1]aux!$G$1:$H$55,2,FALSE),"")</f>
        <v>TSE104</v>
      </c>
      <c r="D3" s="13" t="s">
        <v>26</v>
      </c>
      <c r="E3" s="13" t="s">
        <v>27</v>
      </c>
      <c r="F3" s="11" t="s">
        <v>28</v>
      </c>
      <c r="G3" s="11"/>
      <c r="H3" s="11"/>
      <c r="I3" s="11" t="s">
        <v>29</v>
      </c>
      <c r="J3" s="12" t="str">
        <f>IFERROR(VLOOKUP(I3,[1]aux!$A$1:$B$5,2,FALSE),"")</f>
        <v>0203</v>
      </c>
      <c r="K3" s="11" t="s">
        <v>31</v>
      </c>
      <c r="L3" s="12" t="str">
        <f>IFERROR(VLOOKUP(K3,[1]aux!$D$1:$E$12,2,FALSE),"")</f>
        <v>000005</v>
      </c>
      <c r="M3" s="14">
        <f t="shared" ref="M3:M66" si="1">IF(OR($A3&lt;&gt;"",$B3&lt;&gt;""),SUM(N3:Y3),"")</f>
        <v>56058.84208033602</v>
      </c>
      <c r="N3" s="15">
        <v>8408.8263120504034</v>
      </c>
      <c r="O3" s="15">
        <v>4204.4131560252017</v>
      </c>
      <c r="P3" s="15">
        <v>4204.4131560252017</v>
      </c>
      <c r="Q3" s="15">
        <v>4204.4131560252017</v>
      </c>
      <c r="R3" s="15">
        <v>4204.4131560252017</v>
      </c>
      <c r="S3" s="15">
        <v>5045.2957872302413</v>
      </c>
      <c r="T3" s="15">
        <v>4204.4131560252017</v>
      </c>
      <c r="U3" s="15">
        <v>4204.4131560252017</v>
      </c>
      <c r="V3" s="15">
        <v>5045.2957872302413</v>
      </c>
      <c r="W3" s="15">
        <v>3924.118945623522</v>
      </c>
      <c r="X3" s="15">
        <v>3924.118945623522</v>
      </c>
      <c r="Y3" s="15">
        <v>4484.7073664268819</v>
      </c>
    </row>
    <row r="4" spans="1:25" x14ac:dyDescent="0.2">
      <c r="A4" s="10" t="str">
        <f t="shared" si="0"/>
        <v>FRANQUIA</v>
      </c>
      <c r="B4" s="13" t="s">
        <v>25</v>
      </c>
      <c r="C4" s="12" t="str">
        <f>IFERROR(VLOOKUP(B4,[1]aux!$G$1:$H$55,2,FALSE),"")</f>
        <v>TSE104</v>
      </c>
      <c r="D4" s="13" t="s">
        <v>26</v>
      </c>
      <c r="E4" s="13" t="s">
        <v>27</v>
      </c>
      <c r="F4" s="11" t="s">
        <v>28</v>
      </c>
      <c r="G4" s="11"/>
      <c r="H4" s="11"/>
      <c r="I4" s="11" t="s">
        <v>29</v>
      </c>
      <c r="J4" s="12" t="str">
        <f>IFERROR(VLOOKUP(I4,[1]aux!$A$1:$B$5,2,FALSE),"")</f>
        <v>0203</v>
      </c>
      <c r="K4" s="11" t="s">
        <v>32</v>
      </c>
      <c r="L4" s="12" t="str">
        <f>IFERROR(VLOOKUP(K4,[1]aux!$D$1:$E$12,2,FALSE),"")</f>
        <v>000013</v>
      </c>
      <c r="M4" s="14">
        <f t="shared" si="1"/>
        <v>56058.84208033602</v>
      </c>
      <c r="N4" s="15">
        <v>8408.8263120504034</v>
      </c>
      <c r="O4" s="15">
        <v>4204.4131560252017</v>
      </c>
      <c r="P4" s="15">
        <v>4204.4131560252017</v>
      </c>
      <c r="Q4" s="15">
        <v>4204.4131560252017</v>
      </c>
      <c r="R4" s="15">
        <v>4204.4131560252017</v>
      </c>
      <c r="S4" s="15">
        <v>5045.2957872302413</v>
      </c>
      <c r="T4" s="15">
        <v>4204.4131560252017</v>
      </c>
      <c r="U4" s="15">
        <v>4204.4131560252017</v>
      </c>
      <c r="V4" s="15">
        <v>5045.2957872302413</v>
      </c>
      <c r="W4" s="15">
        <v>3924.118945623522</v>
      </c>
      <c r="X4" s="15">
        <v>3924.118945623522</v>
      </c>
      <c r="Y4" s="15">
        <v>4484.7073664268819</v>
      </c>
    </row>
    <row r="5" spans="1:25" x14ac:dyDescent="0.2">
      <c r="A5" s="10" t="str">
        <f t="shared" si="0"/>
        <v>FRANQUIA</v>
      </c>
      <c r="B5" s="13" t="s">
        <v>25</v>
      </c>
      <c r="C5" s="12" t="str">
        <f>IFERROR(VLOOKUP(B5,[1]aux!$G$1:$H$55,2,FALSE),"")</f>
        <v>TSE104</v>
      </c>
      <c r="D5" s="13" t="s">
        <v>26</v>
      </c>
      <c r="E5" s="13" t="s">
        <v>27</v>
      </c>
      <c r="F5" s="11" t="s">
        <v>28</v>
      </c>
      <c r="G5" s="11"/>
      <c r="H5" s="11"/>
      <c r="I5" s="11" t="s">
        <v>29</v>
      </c>
      <c r="J5" s="12" t="str">
        <f>IFERROR(VLOOKUP(I5,[1]aux!$A$1:$B$5,2,FALSE),"")</f>
        <v>0203</v>
      </c>
      <c r="K5" s="11" t="s">
        <v>33</v>
      </c>
      <c r="L5" s="12" t="str">
        <f>IFERROR(VLOOKUP(K5,[1]aux!$D$1:$E$12,2,FALSE),"")</f>
        <v>000003</v>
      </c>
      <c r="M5" s="14">
        <f t="shared" si="1"/>
        <v>56058.84208033602</v>
      </c>
      <c r="N5" s="15">
        <v>8408.8263120504034</v>
      </c>
      <c r="O5" s="15">
        <v>4204.4131560252017</v>
      </c>
      <c r="P5" s="15">
        <v>4204.4131560252017</v>
      </c>
      <c r="Q5" s="15">
        <v>4204.4131560252017</v>
      </c>
      <c r="R5" s="15">
        <v>4204.4131560252017</v>
      </c>
      <c r="S5" s="15">
        <v>5045.2957872302413</v>
      </c>
      <c r="T5" s="15">
        <v>4204.4131560252017</v>
      </c>
      <c r="U5" s="15">
        <v>4204.4131560252017</v>
      </c>
      <c r="V5" s="15">
        <v>5045.2957872302413</v>
      </c>
      <c r="W5" s="15">
        <v>3924.118945623522</v>
      </c>
      <c r="X5" s="15">
        <v>3924.118945623522</v>
      </c>
      <c r="Y5" s="15">
        <v>4484.7073664268819</v>
      </c>
    </row>
    <row r="6" spans="1:25" x14ac:dyDescent="0.2">
      <c r="A6" s="10" t="str">
        <f t="shared" si="0"/>
        <v>FRANQUIA</v>
      </c>
      <c r="B6" s="13" t="s">
        <v>25</v>
      </c>
      <c r="C6" s="12" t="str">
        <f>IFERROR(VLOOKUP(B6,[1]aux!$G$1:$H$55,2,FALSE),"")</f>
        <v>TSE104</v>
      </c>
      <c r="D6" s="13" t="s">
        <v>26</v>
      </c>
      <c r="E6" s="13" t="s">
        <v>27</v>
      </c>
      <c r="F6" s="11" t="s">
        <v>28</v>
      </c>
      <c r="G6" s="11"/>
      <c r="H6" s="11"/>
      <c r="I6" s="11" t="s">
        <v>29</v>
      </c>
      <c r="J6" s="12" t="str">
        <f>IFERROR(VLOOKUP(I6,[1]aux!$A$1:$B$5,2,FALSE),"")</f>
        <v>0203</v>
      </c>
      <c r="K6" s="11" t="s">
        <v>34</v>
      </c>
      <c r="L6" s="12" t="str">
        <f>IFERROR(VLOOKUP(K6,[1]aux!$D$1:$E$12,2,FALSE),"")</f>
        <v>000014</v>
      </c>
      <c r="M6" s="14">
        <f t="shared" si="1"/>
        <v>56058.84208033602</v>
      </c>
      <c r="N6" s="15">
        <v>8408.8263120504034</v>
      </c>
      <c r="O6" s="15">
        <v>4204.4131560252017</v>
      </c>
      <c r="P6" s="15">
        <v>4204.4131560252017</v>
      </c>
      <c r="Q6" s="15">
        <v>4204.4131560252017</v>
      </c>
      <c r="R6" s="15">
        <v>4204.4131560252017</v>
      </c>
      <c r="S6" s="15">
        <v>5045.2957872302413</v>
      </c>
      <c r="T6" s="15">
        <v>4204.4131560252017</v>
      </c>
      <c r="U6" s="15">
        <v>4204.4131560252017</v>
      </c>
      <c r="V6" s="15">
        <v>5045.2957872302413</v>
      </c>
      <c r="W6" s="15">
        <v>3924.118945623522</v>
      </c>
      <c r="X6" s="15">
        <v>3924.118945623522</v>
      </c>
      <c r="Y6" s="15">
        <v>4484.7073664268819</v>
      </c>
    </row>
    <row r="7" spans="1:25" x14ac:dyDescent="0.2">
      <c r="A7" s="10" t="str">
        <f t="shared" si="0"/>
        <v>FRANQUIA</v>
      </c>
      <c r="B7" s="13" t="s">
        <v>25</v>
      </c>
      <c r="C7" s="12" t="str">
        <f>IFERROR(VLOOKUP(B7,[1]aux!$G$1:$H$55,2,FALSE),"")</f>
        <v>TSE104</v>
      </c>
      <c r="D7" s="13" t="s">
        <v>26</v>
      </c>
      <c r="E7" s="13" t="s">
        <v>27</v>
      </c>
      <c r="F7" s="11" t="s">
        <v>28</v>
      </c>
      <c r="G7" s="11"/>
      <c r="H7" s="11"/>
      <c r="I7" s="11" t="s">
        <v>29</v>
      </c>
      <c r="J7" s="12" t="str">
        <f>IFERROR(VLOOKUP(I7,[1]aux!$A$1:$B$5,2,FALSE),"")</f>
        <v>0203</v>
      </c>
      <c r="K7" s="11" t="s">
        <v>35</v>
      </c>
      <c r="L7" s="12" t="str">
        <f>IFERROR(VLOOKUP(K7,[1]aux!$D$1:$E$12,2,FALSE),"")</f>
        <v>000001</v>
      </c>
      <c r="M7" s="14">
        <f t="shared" si="1"/>
        <v>190600.06307314243</v>
      </c>
      <c r="N7" s="15">
        <v>28590.009460971367</v>
      </c>
      <c r="O7" s="15">
        <v>14295.004730485683</v>
      </c>
      <c r="P7" s="15">
        <v>14295.004730485683</v>
      </c>
      <c r="Q7" s="15">
        <v>14295.004730485683</v>
      </c>
      <c r="R7" s="15">
        <v>14295.004730485683</v>
      </c>
      <c r="S7" s="15">
        <v>17154.005676582819</v>
      </c>
      <c r="T7" s="15">
        <v>14295.004730485683</v>
      </c>
      <c r="U7" s="15">
        <v>14295.004730485683</v>
      </c>
      <c r="V7" s="15">
        <v>17154.005676582819</v>
      </c>
      <c r="W7" s="15">
        <v>13342.004415119973</v>
      </c>
      <c r="X7" s="15">
        <v>13342.004415119973</v>
      </c>
      <c r="Y7" s="15">
        <v>15248.005045851398</v>
      </c>
    </row>
    <row r="8" spans="1:25" x14ac:dyDescent="0.2">
      <c r="A8" s="10" t="str">
        <f t="shared" si="0"/>
        <v>FRANQUIA</v>
      </c>
      <c r="B8" s="13" t="s">
        <v>25</v>
      </c>
      <c r="C8" s="12" t="str">
        <f>IFERROR(VLOOKUP(B8,[1]aux!$G$1:$H$55,2,FALSE),"")</f>
        <v>TSE104</v>
      </c>
      <c r="D8" s="13" t="s">
        <v>26</v>
      </c>
      <c r="E8" s="13" t="s">
        <v>27</v>
      </c>
      <c r="F8" s="11" t="s">
        <v>28</v>
      </c>
      <c r="G8" s="11"/>
      <c r="H8" s="11"/>
      <c r="I8" s="11" t="s">
        <v>29</v>
      </c>
      <c r="J8" s="12" t="str">
        <f>IFERROR(VLOOKUP(I8,[1]aux!$A$1:$B$5,2,FALSE),"")</f>
        <v>0203</v>
      </c>
      <c r="K8" s="11" t="s">
        <v>36</v>
      </c>
      <c r="L8" s="12" t="str">
        <f>IFERROR(VLOOKUP(K8,[1]aux!$D$1:$E$12,2,FALSE),"")</f>
        <v>000010</v>
      </c>
      <c r="M8" s="14">
        <f t="shared" si="1"/>
        <v>56058.84208033602</v>
      </c>
      <c r="N8" s="15">
        <v>8408.8263120504034</v>
      </c>
      <c r="O8" s="15">
        <v>4204.4131560252017</v>
      </c>
      <c r="P8" s="15">
        <v>4204.4131560252017</v>
      </c>
      <c r="Q8" s="15">
        <v>4204.4131560252017</v>
      </c>
      <c r="R8" s="15">
        <v>4204.4131560252017</v>
      </c>
      <c r="S8" s="15">
        <v>5045.2957872302413</v>
      </c>
      <c r="T8" s="15">
        <v>4204.4131560252017</v>
      </c>
      <c r="U8" s="15">
        <v>4204.4131560252017</v>
      </c>
      <c r="V8" s="15">
        <v>5045.2957872302413</v>
      </c>
      <c r="W8" s="15">
        <v>3924.118945623522</v>
      </c>
      <c r="X8" s="15">
        <v>3924.118945623522</v>
      </c>
      <c r="Y8" s="15">
        <v>4484.7073664268819</v>
      </c>
    </row>
    <row r="9" spans="1:25" x14ac:dyDescent="0.2">
      <c r="A9" s="10" t="str">
        <f t="shared" si="0"/>
        <v>FRANQUIA</v>
      </c>
      <c r="B9" s="13" t="s">
        <v>25</v>
      </c>
      <c r="C9" s="12" t="str">
        <f>IFERROR(VLOOKUP(B9,[1]aux!$G$1:$H$55,2,FALSE),"")</f>
        <v>TSE104</v>
      </c>
      <c r="D9" s="13" t="s">
        <v>26</v>
      </c>
      <c r="E9" s="13" t="s">
        <v>27</v>
      </c>
      <c r="F9" s="11" t="s">
        <v>28</v>
      </c>
      <c r="G9" s="11"/>
      <c r="H9" s="11"/>
      <c r="I9" s="11" t="s">
        <v>29</v>
      </c>
      <c r="J9" s="12" t="str">
        <f>IFERROR(VLOOKUP(I9,[1]aux!$A$1:$B$5,2,FALSE),"")</f>
        <v>0203</v>
      </c>
      <c r="K9" s="11" t="s">
        <v>37</v>
      </c>
      <c r="L9" s="12" t="str">
        <f>IFERROR(VLOOKUP(K9,[1]aux!$D$1:$E$12,2,FALSE),"")</f>
        <v>000009</v>
      </c>
      <c r="M9" s="14">
        <f t="shared" si="1"/>
        <v>84088.263120504009</v>
      </c>
      <c r="N9" s="15">
        <v>12613.239468075601</v>
      </c>
      <c r="O9" s="15">
        <v>6306.6197340378003</v>
      </c>
      <c r="P9" s="15">
        <v>6306.6197340378003</v>
      </c>
      <c r="Q9" s="15">
        <v>6306.6197340378003</v>
      </c>
      <c r="R9" s="15">
        <v>6306.6197340378003</v>
      </c>
      <c r="S9" s="15">
        <v>7567.9436808453602</v>
      </c>
      <c r="T9" s="15">
        <v>6306.6197340378003</v>
      </c>
      <c r="U9" s="15">
        <v>6306.6197340378003</v>
      </c>
      <c r="V9" s="15">
        <v>7567.9436808453602</v>
      </c>
      <c r="W9" s="15">
        <v>5886.1784184352809</v>
      </c>
      <c r="X9" s="15">
        <v>5886.1784184352809</v>
      </c>
      <c r="Y9" s="15">
        <v>6727.0610496403206</v>
      </c>
    </row>
    <row r="10" spans="1:25" x14ac:dyDescent="0.2">
      <c r="A10" s="10" t="str">
        <f t="shared" si="0"/>
        <v>FRANQUIA</v>
      </c>
      <c r="B10" s="13" t="s">
        <v>25</v>
      </c>
      <c r="C10" s="12" t="str">
        <f>IFERROR(VLOOKUP(B10,[1]aux!$G$1:$H$55,2,FALSE),"")</f>
        <v>TSE104</v>
      </c>
      <c r="D10" s="13" t="s">
        <v>26</v>
      </c>
      <c r="E10" s="13" t="s">
        <v>27</v>
      </c>
      <c r="F10" s="11" t="s">
        <v>28</v>
      </c>
      <c r="G10" s="11"/>
      <c r="H10" s="11"/>
      <c r="I10" s="11" t="s">
        <v>38</v>
      </c>
      <c r="J10" s="12" t="str">
        <f>IFERROR(VLOOKUP(I10,[1]aux!$A$1:$B$5,2,FALSE),"")</f>
        <v>0258</v>
      </c>
      <c r="K10" s="11" t="s">
        <v>30</v>
      </c>
      <c r="L10" s="12" t="str">
        <f>IFERROR(VLOOKUP(K10,[1]aux!$D$1:$E$12,2,FALSE),"")</f>
        <v>000002</v>
      </c>
      <c r="M10" s="14">
        <f t="shared" si="1"/>
        <v>5996</v>
      </c>
      <c r="N10" s="15">
        <v>419.72</v>
      </c>
      <c r="O10" s="15">
        <v>419.72</v>
      </c>
      <c r="P10" s="15">
        <v>479.68</v>
      </c>
      <c r="Q10" s="15">
        <v>479.68</v>
      </c>
      <c r="R10" s="15">
        <v>539.64</v>
      </c>
      <c r="S10" s="15">
        <v>599.6</v>
      </c>
      <c r="T10" s="15">
        <v>479.68</v>
      </c>
      <c r="U10" s="15">
        <v>539.64</v>
      </c>
      <c r="V10" s="15">
        <v>599.6</v>
      </c>
      <c r="W10" s="15">
        <v>449.7</v>
      </c>
      <c r="X10" s="15">
        <v>449.7</v>
      </c>
      <c r="Y10" s="15">
        <v>539.64</v>
      </c>
    </row>
    <row r="11" spans="1:25" x14ac:dyDescent="0.2">
      <c r="A11" s="10" t="str">
        <f t="shared" si="0"/>
        <v>FRANQUIA</v>
      </c>
      <c r="B11" s="13" t="s">
        <v>25</v>
      </c>
      <c r="C11" s="12" t="str">
        <f>IFERROR(VLOOKUP(B11,[1]aux!$G$1:$H$55,2,FALSE),"")</f>
        <v>TSE104</v>
      </c>
      <c r="D11" s="13" t="s">
        <v>26</v>
      </c>
      <c r="E11" s="13" t="s">
        <v>27</v>
      </c>
      <c r="F11" s="11" t="s">
        <v>28</v>
      </c>
      <c r="G11" s="11"/>
      <c r="H11" s="11"/>
      <c r="I11" s="11" t="s">
        <v>38</v>
      </c>
      <c r="J11" s="12" t="str">
        <f>IFERROR(VLOOKUP(I11,[1]aux!$A$1:$B$5,2,FALSE),"")</f>
        <v>0258</v>
      </c>
      <c r="K11" s="11" t="s">
        <v>31</v>
      </c>
      <c r="L11" s="12" t="str">
        <f>IFERROR(VLOOKUP(K11,[1]aux!$D$1:$E$12,2,FALSE),"")</f>
        <v>000005</v>
      </c>
      <c r="M11" s="14">
        <f t="shared" si="1"/>
        <v>28978.000117864205</v>
      </c>
      <c r="N11" s="15">
        <v>2028.4600082504942</v>
      </c>
      <c r="O11" s="15">
        <v>2028.4600082504942</v>
      </c>
      <c r="P11" s="15">
        <v>2318.2400094291361</v>
      </c>
      <c r="Q11" s="15">
        <v>2318.2400094291361</v>
      </c>
      <c r="R11" s="15">
        <v>2608.0200106077782</v>
      </c>
      <c r="S11" s="15">
        <v>2897.8000117864203</v>
      </c>
      <c r="T11" s="15">
        <v>2318.2400094291361</v>
      </c>
      <c r="U11" s="15">
        <v>2608.0200106077782</v>
      </c>
      <c r="V11" s="15">
        <v>2897.8000117864203</v>
      </c>
      <c r="W11" s="15">
        <v>2173.350008839815</v>
      </c>
      <c r="X11" s="15">
        <v>2173.350008839815</v>
      </c>
      <c r="Y11" s="15">
        <v>2608.0200106077782</v>
      </c>
    </row>
    <row r="12" spans="1:25" x14ac:dyDescent="0.2">
      <c r="A12" s="10" t="str">
        <f t="shared" si="0"/>
        <v>FRANQUIA</v>
      </c>
      <c r="B12" s="13" t="s">
        <v>25</v>
      </c>
      <c r="C12" s="12" t="str">
        <f>IFERROR(VLOOKUP(B12,[1]aux!$G$1:$H$55,2,FALSE),"")</f>
        <v>TSE104</v>
      </c>
      <c r="D12" s="13" t="s">
        <v>26</v>
      </c>
      <c r="E12" s="13" t="s">
        <v>27</v>
      </c>
      <c r="F12" s="11" t="s">
        <v>28</v>
      </c>
      <c r="G12" s="11"/>
      <c r="H12" s="11"/>
      <c r="I12" s="11" t="s">
        <v>38</v>
      </c>
      <c r="J12" s="12" t="str">
        <f>IFERROR(VLOOKUP(I12,[1]aux!$A$1:$B$5,2,FALSE),"")</f>
        <v>0258</v>
      </c>
      <c r="K12" s="11" t="s">
        <v>32</v>
      </c>
      <c r="L12" s="12" t="str">
        <f>IFERROR(VLOOKUP(K12,[1]aux!$D$1:$E$12,2,FALSE),"")</f>
        <v>000013</v>
      </c>
      <c r="M12" s="14">
        <f t="shared" si="1"/>
        <v>40912.60047138761</v>
      </c>
      <c r="N12" s="15">
        <v>2863.8820329971331</v>
      </c>
      <c r="O12" s="15">
        <v>2863.8820329971331</v>
      </c>
      <c r="P12" s="15">
        <v>3273.0080377110089</v>
      </c>
      <c r="Q12" s="15">
        <v>3273.0080377110089</v>
      </c>
      <c r="R12" s="15">
        <v>3682.1340424248847</v>
      </c>
      <c r="S12" s="15">
        <v>4091.2600471387614</v>
      </c>
      <c r="T12" s="15">
        <v>3273.0080377110089</v>
      </c>
      <c r="U12" s="15">
        <v>3682.1340424248847</v>
      </c>
      <c r="V12" s="15">
        <v>4091.2600471387614</v>
      </c>
      <c r="W12" s="15">
        <v>3068.4450353540706</v>
      </c>
      <c r="X12" s="15">
        <v>3068.4450353540706</v>
      </c>
      <c r="Y12" s="15">
        <v>3682.1340424248847</v>
      </c>
    </row>
    <row r="13" spans="1:25" x14ac:dyDescent="0.2">
      <c r="A13" s="10" t="str">
        <f t="shared" si="0"/>
        <v>FRANQUIA</v>
      </c>
      <c r="B13" s="13" t="s">
        <v>25</v>
      </c>
      <c r="C13" s="12" t="str">
        <f>IFERROR(VLOOKUP(B13,[1]aux!$G$1:$H$55,2,FALSE),"")</f>
        <v>TSE104</v>
      </c>
      <c r="D13" s="13" t="s">
        <v>26</v>
      </c>
      <c r="E13" s="13" t="s">
        <v>27</v>
      </c>
      <c r="F13" s="11" t="s">
        <v>28</v>
      </c>
      <c r="G13" s="11"/>
      <c r="H13" s="11"/>
      <c r="I13" s="11" t="s">
        <v>38</v>
      </c>
      <c r="J13" s="12" t="str">
        <f>IFERROR(VLOOKUP(I13,[1]aux!$A$1:$B$5,2,FALSE),"")</f>
        <v>0258</v>
      </c>
      <c r="K13" s="11" t="s">
        <v>33</v>
      </c>
      <c r="L13" s="12" t="str">
        <f>IFERROR(VLOOKUP(K13,[1]aux!$D$1:$E$12,2,FALSE),"")</f>
        <v>000003</v>
      </c>
      <c r="M13" s="14">
        <f t="shared" si="1"/>
        <v>28978.000117864205</v>
      </c>
      <c r="N13" s="15">
        <v>2028.4600082504942</v>
      </c>
      <c r="O13" s="15">
        <v>2028.4600082504942</v>
      </c>
      <c r="P13" s="15">
        <v>2318.2400094291361</v>
      </c>
      <c r="Q13" s="15">
        <v>2318.2400094291361</v>
      </c>
      <c r="R13" s="15">
        <v>2608.0200106077782</v>
      </c>
      <c r="S13" s="15">
        <v>2897.8000117864203</v>
      </c>
      <c r="T13" s="15">
        <v>2318.2400094291361</v>
      </c>
      <c r="U13" s="15">
        <v>2608.0200106077782</v>
      </c>
      <c r="V13" s="15">
        <v>2897.8000117864203</v>
      </c>
      <c r="W13" s="15">
        <v>2173.350008839815</v>
      </c>
      <c r="X13" s="15">
        <v>2173.350008839815</v>
      </c>
      <c r="Y13" s="15">
        <v>2608.0200106077782</v>
      </c>
    </row>
    <row r="14" spans="1:25" x14ac:dyDescent="0.2">
      <c r="A14" s="10" t="str">
        <f t="shared" si="0"/>
        <v>FRANQUIA</v>
      </c>
      <c r="B14" s="13" t="s">
        <v>25</v>
      </c>
      <c r="C14" s="12" t="str">
        <f>IFERROR(VLOOKUP(B14,[1]aux!$G$1:$H$55,2,FALSE),"")</f>
        <v>TSE104</v>
      </c>
      <c r="D14" s="13" t="s">
        <v>26</v>
      </c>
      <c r="E14" s="13" t="s">
        <v>27</v>
      </c>
      <c r="F14" s="11" t="s">
        <v>28</v>
      </c>
      <c r="G14" s="11"/>
      <c r="H14" s="11"/>
      <c r="I14" s="11" t="s">
        <v>38</v>
      </c>
      <c r="J14" s="12" t="str">
        <f>IFERROR(VLOOKUP(I14,[1]aux!$A$1:$B$5,2,FALSE),"")</f>
        <v>0258</v>
      </c>
      <c r="K14" s="11" t="s">
        <v>34</v>
      </c>
      <c r="L14" s="12" t="str">
        <f>IFERROR(VLOOKUP(K14,[1]aux!$D$1:$E$12,2,FALSE),"")</f>
        <v>000014</v>
      </c>
      <c r="M14" s="14">
        <f t="shared" si="1"/>
        <v>28978.000117864205</v>
      </c>
      <c r="N14" s="15">
        <v>2028.4600082504942</v>
      </c>
      <c r="O14" s="15">
        <v>2028.4600082504942</v>
      </c>
      <c r="P14" s="15">
        <v>2318.2400094291361</v>
      </c>
      <c r="Q14" s="15">
        <v>2318.2400094291361</v>
      </c>
      <c r="R14" s="15">
        <v>2608.0200106077782</v>
      </c>
      <c r="S14" s="15">
        <v>2897.8000117864203</v>
      </c>
      <c r="T14" s="15">
        <v>2318.2400094291361</v>
      </c>
      <c r="U14" s="15">
        <v>2608.0200106077782</v>
      </c>
      <c r="V14" s="15">
        <v>2897.8000117864203</v>
      </c>
      <c r="W14" s="15">
        <v>2173.350008839815</v>
      </c>
      <c r="X14" s="15">
        <v>2173.350008839815</v>
      </c>
      <c r="Y14" s="15">
        <v>2608.0200106077782</v>
      </c>
    </row>
    <row r="15" spans="1:25" x14ac:dyDescent="0.2">
      <c r="A15" s="10" t="str">
        <f t="shared" si="0"/>
        <v>FRANQUIA</v>
      </c>
      <c r="B15" s="13" t="s">
        <v>25</v>
      </c>
      <c r="C15" s="12" t="str">
        <f>IFERROR(VLOOKUP(B15,[1]aux!$G$1:$H$55,2,FALSE),"")</f>
        <v>TSE104</v>
      </c>
      <c r="D15" s="13" t="s">
        <v>26</v>
      </c>
      <c r="E15" s="13" t="s">
        <v>27</v>
      </c>
      <c r="F15" s="11" t="s">
        <v>28</v>
      </c>
      <c r="G15" s="11"/>
      <c r="H15" s="11"/>
      <c r="I15" s="11" t="s">
        <v>38</v>
      </c>
      <c r="J15" s="12" t="str">
        <f>IFERROR(VLOOKUP(I15,[1]aux!$A$1:$B$5,2,FALSE),"")</f>
        <v>0258</v>
      </c>
      <c r="K15" s="11" t="s">
        <v>35</v>
      </c>
      <c r="L15" s="12" t="str">
        <f>IFERROR(VLOOKUP(K15,[1]aux!$D$1:$E$12,2,FALSE),"")</f>
        <v>000001</v>
      </c>
      <c r="M15" s="14">
        <f t="shared" si="1"/>
        <v>136496.74999999991</v>
      </c>
      <c r="N15" s="15">
        <v>9554.7724999999973</v>
      </c>
      <c r="O15" s="15">
        <v>9554.7724999999973</v>
      </c>
      <c r="P15" s="15">
        <v>10919.739999999996</v>
      </c>
      <c r="Q15" s="15">
        <v>10919.739999999996</v>
      </c>
      <c r="R15" s="15">
        <v>12284.707499999995</v>
      </c>
      <c r="S15" s="15">
        <v>13649.674999999996</v>
      </c>
      <c r="T15" s="15">
        <v>10919.739999999996</v>
      </c>
      <c r="U15" s="15">
        <v>12284.707499999995</v>
      </c>
      <c r="V15" s="15">
        <v>13649.674999999996</v>
      </c>
      <c r="W15" s="15">
        <v>10237.256249999995</v>
      </c>
      <c r="X15" s="15">
        <v>10237.256249999995</v>
      </c>
      <c r="Y15" s="15">
        <v>12284.707499999995</v>
      </c>
    </row>
    <row r="16" spans="1:25" x14ac:dyDescent="0.2">
      <c r="A16" s="10" t="str">
        <f t="shared" si="0"/>
        <v>FRANQUIA</v>
      </c>
      <c r="B16" s="13" t="s">
        <v>25</v>
      </c>
      <c r="C16" s="12" t="str">
        <f>IFERROR(VLOOKUP(B16,[1]aux!$G$1:$H$55,2,FALSE),"")</f>
        <v>TSE104</v>
      </c>
      <c r="D16" s="13" t="s">
        <v>26</v>
      </c>
      <c r="E16" s="13" t="s">
        <v>27</v>
      </c>
      <c r="F16" s="11" t="s">
        <v>28</v>
      </c>
      <c r="G16" s="11"/>
      <c r="H16" s="11"/>
      <c r="I16" s="11" t="s">
        <v>38</v>
      </c>
      <c r="J16" s="12" t="str">
        <f>IFERROR(VLOOKUP(I16,[1]aux!$A$1:$B$5,2,FALSE),"")</f>
        <v>0258</v>
      </c>
      <c r="K16" s="11" t="s">
        <v>36</v>
      </c>
      <c r="L16" s="12" t="str">
        <f>IFERROR(VLOOKUP(K16,[1]aux!$D$1:$E$12,2,FALSE),"")</f>
        <v>000010</v>
      </c>
      <c r="M16" s="14">
        <f t="shared" si="1"/>
        <v>28978.000117864205</v>
      </c>
      <c r="N16" s="15">
        <v>2028.4600082504942</v>
      </c>
      <c r="O16" s="15">
        <v>2028.4600082504942</v>
      </c>
      <c r="P16" s="15">
        <v>2318.2400094291361</v>
      </c>
      <c r="Q16" s="15">
        <v>2318.2400094291361</v>
      </c>
      <c r="R16" s="15">
        <v>2608.0200106077782</v>
      </c>
      <c r="S16" s="15">
        <v>2897.8000117864203</v>
      </c>
      <c r="T16" s="15">
        <v>2318.2400094291361</v>
      </c>
      <c r="U16" s="15">
        <v>2608.0200106077782</v>
      </c>
      <c r="V16" s="15">
        <v>2897.8000117864203</v>
      </c>
      <c r="W16" s="15">
        <v>2173.350008839815</v>
      </c>
      <c r="X16" s="15">
        <v>2173.350008839815</v>
      </c>
      <c r="Y16" s="15">
        <v>2608.0200106077782</v>
      </c>
    </row>
    <row r="17" spans="1:25" x14ac:dyDescent="0.2">
      <c r="A17" s="10" t="str">
        <f t="shared" si="0"/>
        <v>FRANQUIA</v>
      </c>
      <c r="B17" s="13" t="s">
        <v>25</v>
      </c>
      <c r="C17" s="12" t="str">
        <f>IFERROR(VLOOKUP(B17,[1]aux!$G$1:$H$55,2,FALSE),"")</f>
        <v>TSE104</v>
      </c>
      <c r="D17" s="13" t="s">
        <v>26</v>
      </c>
      <c r="E17" s="13" t="s">
        <v>27</v>
      </c>
      <c r="F17" s="11" t="s">
        <v>28</v>
      </c>
      <c r="G17" s="11"/>
      <c r="H17" s="11"/>
      <c r="I17" s="11" t="s">
        <v>38</v>
      </c>
      <c r="J17" s="12" t="str">
        <f>IFERROR(VLOOKUP(I17,[1]aux!$A$1:$B$5,2,FALSE),"")</f>
        <v>0258</v>
      </c>
      <c r="K17" s="11" t="s">
        <v>37</v>
      </c>
      <c r="L17" s="12" t="str">
        <f>IFERROR(VLOOKUP(K17,[1]aux!$D$1:$E$12,2,FALSE),"")</f>
        <v>000009</v>
      </c>
      <c r="M17" s="14">
        <f t="shared" si="1"/>
        <v>40912.60047138761</v>
      </c>
      <c r="N17" s="15">
        <v>2863.8820329971331</v>
      </c>
      <c r="O17" s="15">
        <v>2863.8820329971331</v>
      </c>
      <c r="P17" s="15">
        <v>3273.0080377110089</v>
      </c>
      <c r="Q17" s="15">
        <v>3273.0080377110089</v>
      </c>
      <c r="R17" s="15">
        <v>3682.1340424248847</v>
      </c>
      <c r="S17" s="15">
        <v>4091.2600471387614</v>
      </c>
      <c r="T17" s="15">
        <v>3273.0080377110089</v>
      </c>
      <c r="U17" s="15">
        <v>3682.1340424248847</v>
      </c>
      <c r="V17" s="15">
        <v>4091.2600471387614</v>
      </c>
      <c r="W17" s="15">
        <v>3068.4450353540706</v>
      </c>
      <c r="X17" s="15">
        <v>3068.4450353540706</v>
      </c>
      <c r="Y17" s="15">
        <v>3682.1340424248847</v>
      </c>
    </row>
    <row r="18" spans="1:25" x14ac:dyDescent="0.2">
      <c r="A18" s="10" t="str">
        <f t="shared" si="0"/>
        <v>FRANQUIA</v>
      </c>
      <c r="B18" s="13" t="s">
        <v>25</v>
      </c>
      <c r="C18" s="12" t="str">
        <f>IFERROR(VLOOKUP(B18,[1]aux!$G$1:$H$55,2,FALSE),"")</f>
        <v>TSE104</v>
      </c>
      <c r="D18" s="13" t="s">
        <v>26</v>
      </c>
      <c r="E18" s="13" t="s">
        <v>27</v>
      </c>
      <c r="F18" s="11" t="s">
        <v>28</v>
      </c>
      <c r="G18" s="11"/>
      <c r="H18" s="11"/>
      <c r="I18" s="11" t="s">
        <v>39</v>
      </c>
      <c r="J18" s="12" t="str">
        <f>IFERROR(VLOOKUP(I18,[1]aux!$A$1:$B$5,2,FALSE),"")</f>
        <v>0303</v>
      </c>
      <c r="K18" s="11" t="s">
        <v>31</v>
      </c>
      <c r="L18" s="12" t="str">
        <f>IFERROR(VLOOKUP(K18,[1]aux!$D$1:$E$12,2,FALSE),"")</f>
        <v>000005</v>
      </c>
      <c r="M18" s="14">
        <f t="shared" si="1"/>
        <v>1021.9998821357988</v>
      </c>
      <c r="N18" s="15">
        <v>71.539991749505916</v>
      </c>
      <c r="O18" s="15">
        <v>71.539991749505916</v>
      </c>
      <c r="P18" s="15">
        <v>81.759990570863906</v>
      </c>
      <c r="Q18" s="15">
        <v>81.759990570863906</v>
      </c>
      <c r="R18" s="15">
        <v>91.979989392221881</v>
      </c>
      <c r="S18" s="15">
        <v>102.19998821357989</v>
      </c>
      <c r="T18" s="15">
        <v>81.759990570863906</v>
      </c>
      <c r="U18" s="15">
        <v>91.979989392221881</v>
      </c>
      <c r="V18" s="15">
        <v>102.19998821357989</v>
      </c>
      <c r="W18" s="15">
        <v>76.649991160184911</v>
      </c>
      <c r="X18" s="15">
        <v>76.649991160184911</v>
      </c>
      <c r="Y18" s="15">
        <v>91.979989392221881</v>
      </c>
    </row>
    <row r="19" spans="1:25" x14ac:dyDescent="0.2">
      <c r="A19" s="10" t="str">
        <f t="shared" si="0"/>
        <v>FRANQUIA</v>
      </c>
      <c r="B19" s="13" t="s">
        <v>25</v>
      </c>
      <c r="C19" s="12" t="str">
        <f>IFERROR(VLOOKUP(B19,[1]aux!$G$1:$H$55,2,FALSE),"")</f>
        <v>TSE104</v>
      </c>
      <c r="D19" s="13" t="s">
        <v>26</v>
      </c>
      <c r="E19" s="13" t="s">
        <v>27</v>
      </c>
      <c r="F19" s="11" t="s">
        <v>28</v>
      </c>
      <c r="G19" s="11"/>
      <c r="H19" s="11"/>
      <c r="I19" s="11" t="s">
        <v>39</v>
      </c>
      <c r="J19" s="12" t="str">
        <f>IFERROR(VLOOKUP(I19,[1]aux!$A$1:$B$5,2,FALSE),"")</f>
        <v>0303</v>
      </c>
      <c r="K19" s="11" t="s">
        <v>32</v>
      </c>
      <c r="L19" s="12" t="str">
        <f>IFERROR(VLOOKUP(K19,[1]aux!$D$1:$E$12,2,FALSE),"")</f>
        <v>000013</v>
      </c>
      <c r="M19" s="14">
        <f t="shared" si="1"/>
        <v>4087.3995286123914</v>
      </c>
      <c r="N19" s="15">
        <v>286.11796700286737</v>
      </c>
      <c r="O19" s="15">
        <v>286.11796700286737</v>
      </c>
      <c r="P19" s="15">
        <v>326.99196228899126</v>
      </c>
      <c r="Q19" s="15">
        <v>326.99196228899126</v>
      </c>
      <c r="R19" s="15">
        <v>367.86595757511515</v>
      </c>
      <c r="S19" s="15">
        <v>408.73995286123909</v>
      </c>
      <c r="T19" s="15">
        <v>326.99196228899126</v>
      </c>
      <c r="U19" s="15">
        <v>367.86595757511515</v>
      </c>
      <c r="V19" s="15">
        <v>408.73995286123909</v>
      </c>
      <c r="W19" s="15">
        <v>306.55496464592932</v>
      </c>
      <c r="X19" s="15">
        <v>306.55496464592932</v>
      </c>
      <c r="Y19" s="15">
        <v>367.86595757511515</v>
      </c>
    </row>
    <row r="20" spans="1:25" x14ac:dyDescent="0.2">
      <c r="A20" s="10" t="str">
        <f t="shared" si="0"/>
        <v>FRANQUIA</v>
      </c>
      <c r="B20" s="13" t="s">
        <v>25</v>
      </c>
      <c r="C20" s="12" t="str">
        <f>IFERROR(VLOOKUP(B20,[1]aux!$G$1:$H$55,2,FALSE),"")</f>
        <v>TSE104</v>
      </c>
      <c r="D20" s="13" t="s">
        <v>26</v>
      </c>
      <c r="E20" s="13" t="s">
        <v>27</v>
      </c>
      <c r="F20" s="11" t="s">
        <v>28</v>
      </c>
      <c r="G20" s="11"/>
      <c r="H20" s="11"/>
      <c r="I20" s="11" t="s">
        <v>39</v>
      </c>
      <c r="J20" s="12" t="str">
        <f>IFERROR(VLOOKUP(I20,[1]aux!$A$1:$B$5,2,FALSE),"")</f>
        <v>0303</v>
      </c>
      <c r="K20" s="11" t="s">
        <v>33</v>
      </c>
      <c r="L20" s="12" t="str">
        <f>IFERROR(VLOOKUP(K20,[1]aux!$D$1:$E$12,2,FALSE),"")</f>
        <v>000003</v>
      </c>
      <c r="M20" s="14">
        <f t="shared" si="1"/>
        <v>1021.9998821357988</v>
      </c>
      <c r="N20" s="15">
        <v>71.539991749505916</v>
      </c>
      <c r="O20" s="15">
        <v>71.539991749505916</v>
      </c>
      <c r="P20" s="15">
        <v>81.759990570863906</v>
      </c>
      <c r="Q20" s="15">
        <v>81.759990570863906</v>
      </c>
      <c r="R20" s="15">
        <v>91.979989392221881</v>
      </c>
      <c r="S20" s="15">
        <v>102.19998821357989</v>
      </c>
      <c r="T20" s="15">
        <v>81.759990570863906</v>
      </c>
      <c r="U20" s="15">
        <v>91.979989392221881</v>
      </c>
      <c r="V20" s="15">
        <v>102.19998821357989</v>
      </c>
      <c r="W20" s="15">
        <v>76.649991160184911</v>
      </c>
      <c r="X20" s="15">
        <v>76.649991160184911</v>
      </c>
      <c r="Y20" s="15">
        <v>91.979989392221881</v>
      </c>
    </row>
    <row r="21" spans="1:25" x14ac:dyDescent="0.2">
      <c r="A21" s="10" t="str">
        <f t="shared" si="0"/>
        <v>FRANQUIA</v>
      </c>
      <c r="B21" s="13" t="s">
        <v>25</v>
      </c>
      <c r="C21" s="12" t="str">
        <f>IFERROR(VLOOKUP(B21,[1]aux!$G$1:$H$55,2,FALSE),"")</f>
        <v>TSE104</v>
      </c>
      <c r="D21" s="13" t="s">
        <v>26</v>
      </c>
      <c r="E21" s="13" t="s">
        <v>27</v>
      </c>
      <c r="F21" s="11" t="s">
        <v>28</v>
      </c>
      <c r="G21" s="11"/>
      <c r="H21" s="11"/>
      <c r="I21" s="11" t="s">
        <v>39</v>
      </c>
      <c r="J21" s="12" t="str">
        <f>IFERROR(VLOOKUP(I21,[1]aux!$A$1:$B$5,2,FALSE),"")</f>
        <v>0303</v>
      </c>
      <c r="K21" s="11" t="s">
        <v>34</v>
      </c>
      <c r="L21" s="12" t="str">
        <f>IFERROR(VLOOKUP(K21,[1]aux!$D$1:$E$12,2,FALSE),"")</f>
        <v>000014</v>
      </c>
      <c r="M21" s="14">
        <f t="shared" si="1"/>
        <v>1021.9998821357988</v>
      </c>
      <c r="N21" s="15">
        <v>71.539991749505916</v>
      </c>
      <c r="O21" s="15">
        <v>71.539991749505916</v>
      </c>
      <c r="P21" s="15">
        <v>81.759990570863906</v>
      </c>
      <c r="Q21" s="15">
        <v>81.759990570863906</v>
      </c>
      <c r="R21" s="15">
        <v>91.979989392221881</v>
      </c>
      <c r="S21" s="15">
        <v>102.19998821357989</v>
      </c>
      <c r="T21" s="15">
        <v>81.759990570863906</v>
      </c>
      <c r="U21" s="15">
        <v>91.979989392221881</v>
      </c>
      <c r="V21" s="15">
        <v>102.19998821357989</v>
      </c>
      <c r="W21" s="15">
        <v>76.649991160184911</v>
      </c>
      <c r="X21" s="15">
        <v>76.649991160184911</v>
      </c>
      <c r="Y21" s="15">
        <v>91.979989392221881</v>
      </c>
    </row>
    <row r="22" spans="1:25" x14ac:dyDescent="0.2">
      <c r="A22" s="10" t="str">
        <f t="shared" si="0"/>
        <v>FRANQUIA</v>
      </c>
      <c r="B22" s="13" t="s">
        <v>25</v>
      </c>
      <c r="C22" s="12" t="str">
        <f>IFERROR(VLOOKUP(B22,[1]aux!$G$1:$H$55,2,FALSE),"")</f>
        <v>TSE104</v>
      </c>
      <c r="D22" s="13" t="s">
        <v>26</v>
      </c>
      <c r="E22" s="13" t="s">
        <v>27</v>
      </c>
      <c r="F22" s="11" t="s">
        <v>28</v>
      </c>
      <c r="G22" s="11"/>
      <c r="H22" s="11"/>
      <c r="I22" s="11" t="s">
        <v>39</v>
      </c>
      <c r="J22" s="12" t="str">
        <f>IFERROR(VLOOKUP(I22,[1]aux!$A$1:$B$5,2,FALSE),"")</f>
        <v>0303</v>
      </c>
      <c r="K22" s="11" t="s">
        <v>35</v>
      </c>
      <c r="L22" s="12" t="str">
        <f>IFERROR(VLOOKUP(K22,[1]aux!$D$1:$E$12,2,FALSE),"")</f>
        <v>000001</v>
      </c>
      <c r="M22" s="14">
        <f t="shared" si="1"/>
        <v>10201.619057245543</v>
      </c>
      <c r="N22" s="15">
        <v>714.11333400718797</v>
      </c>
      <c r="O22" s="15">
        <v>714.11333400718797</v>
      </c>
      <c r="P22" s="15">
        <v>816.12952457964332</v>
      </c>
      <c r="Q22" s="15">
        <v>816.12952457964332</v>
      </c>
      <c r="R22" s="15">
        <v>918.14571515209866</v>
      </c>
      <c r="S22" s="15">
        <v>1020.1619057245542</v>
      </c>
      <c r="T22" s="15">
        <v>816.12952457964332</v>
      </c>
      <c r="U22" s="15">
        <v>918.14571515209866</v>
      </c>
      <c r="V22" s="15">
        <v>1020.1619057245542</v>
      </c>
      <c r="W22" s="15">
        <v>765.12142929341564</v>
      </c>
      <c r="X22" s="15">
        <v>765.12142929341564</v>
      </c>
      <c r="Y22" s="15">
        <v>918.14571515209866</v>
      </c>
    </row>
    <row r="23" spans="1:25" x14ac:dyDescent="0.2">
      <c r="A23" s="10" t="str">
        <f t="shared" si="0"/>
        <v>FRANQUIA</v>
      </c>
      <c r="B23" s="13" t="s">
        <v>25</v>
      </c>
      <c r="C23" s="12" t="str">
        <f>IFERROR(VLOOKUP(B23,[1]aux!$G$1:$H$55,2,FALSE),"")</f>
        <v>TSE104</v>
      </c>
      <c r="D23" s="13" t="s">
        <v>26</v>
      </c>
      <c r="E23" s="13" t="s">
        <v>27</v>
      </c>
      <c r="F23" s="11" t="s">
        <v>28</v>
      </c>
      <c r="G23" s="11"/>
      <c r="H23" s="11"/>
      <c r="I23" s="11" t="s">
        <v>39</v>
      </c>
      <c r="J23" s="12" t="str">
        <f>IFERROR(VLOOKUP(I23,[1]aux!$A$1:$B$5,2,FALSE),"")</f>
        <v>0303</v>
      </c>
      <c r="K23" s="11" t="s">
        <v>36</v>
      </c>
      <c r="L23" s="12" t="str">
        <f>IFERROR(VLOOKUP(K23,[1]aux!$D$1:$E$12,2,FALSE),"")</f>
        <v>000010</v>
      </c>
      <c r="M23" s="14">
        <f t="shared" si="1"/>
        <v>1021.9998821357988</v>
      </c>
      <c r="N23" s="15">
        <v>71.539991749505916</v>
      </c>
      <c r="O23" s="15">
        <v>71.539991749505916</v>
      </c>
      <c r="P23" s="15">
        <v>81.759990570863906</v>
      </c>
      <c r="Q23" s="15">
        <v>81.759990570863906</v>
      </c>
      <c r="R23" s="15">
        <v>91.979989392221881</v>
      </c>
      <c r="S23" s="15">
        <v>102.19998821357989</v>
      </c>
      <c r="T23" s="15">
        <v>81.759990570863906</v>
      </c>
      <c r="U23" s="15">
        <v>91.979989392221881</v>
      </c>
      <c r="V23" s="15">
        <v>102.19998821357989</v>
      </c>
      <c r="W23" s="15">
        <v>76.649991160184911</v>
      </c>
      <c r="X23" s="15">
        <v>76.649991160184911</v>
      </c>
      <c r="Y23" s="15">
        <v>91.979989392221881</v>
      </c>
    </row>
    <row r="24" spans="1:25" x14ac:dyDescent="0.2">
      <c r="A24" s="10" t="str">
        <f t="shared" si="0"/>
        <v>FRANQUIA</v>
      </c>
      <c r="B24" s="13" t="s">
        <v>25</v>
      </c>
      <c r="C24" s="12" t="str">
        <f>IFERROR(VLOOKUP(B24,[1]aux!$G$1:$H$55,2,FALSE),"")</f>
        <v>TSE104</v>
      </c>
      <c r="D24" s="13" t="s">
        <v>26</v>
      </c>
      <c r="E24" s="13" t="s">
        <v>27</v>
      </c>
      <c r="F24" s="11" t="s">
        <v>28</v>
      </c>
      <c r="G24" s="11"/>
      <c r="H24" s="11"/>
      <c r="I24" s="11" t="s">
        <v>39</v>
      </c>
      <c r="J24" s="12" t="str">
        <f>IFERROR(VLOOKUP(I24,[1]aux!$A$1:$B$5,2,FALSE),"")</f>
        <v>0303</v>
      </c>
      <c r="K24" s="11" t="s">
        <v>37</v>
      </c>
      <c r="L24" s="12" t="str">
        <f>IFERROR(VLOOKUP(K24,[1]aux!$D$1:$E$12,2,FALSE),"")</f>
        <v>000009</v>
      </c>
      <c r="M24" s="14">
        <f t="shared" si="1"/>
        <v>4087.3995286123914</v>
      </c>
      <c r="N24" s="15">
        <v>286.11796700286737</v>
      </c>
      <c r="O24" s="15">
        <v>286.11796700286737</v>
      </c>
      <c r="P24" s="15">
        <v>326.99196228899126</v>
      </c>
      <c r="Q24" s="15">
        <v>326.99196228899126</v>
      </c>
      <c r="R24" s="15">
        <v>367.86595757511515</v>
      </c>
      <c r="S24" s="15">
        <v>408.73995286123909</v>
      </c>
      <c r="T24" s="15">
        <v>326.99196228899126</v>
      </c>
      <c r="U24" s="15">
        <v>367.86595757511515</v>
      </c>
      <c r="V24" s="15">
        <v>408.73995286123909</v>
      </c>
      <c r="W24" s="15">
        <v>306.55496464592932</v>
      </c>
      <c r="X24" s="15">
        <v>306.55496464592932</v>
      </c>
      <c r="Y24" s="15">
        <v>367.86595757511515</v>
      </c>
    </row>
    <row r="25" spans="1:25" x14ac:dyDescent="0.2">
      <c r="A25" s="10" t="str">
        <f t="shared" si="0"/>
        <v>FRANQUIA</v>
      </c>
      <c r="B25" s="13" t="s">
        <v>25</v>
      </c>
      <c r="C25" s="12" t="str">
        <f>IFERROR(VLOOKUP(B25,[1]aux!$G$1:$H$55,2,FALSE),"")</f>
        <v>TSE104</v>
      </c>
      <c r="D25" s="13" t="s">
        <v>26</v>
      </c>
      <c r="E25" s="13" t="s">
        <v>27</v>
      </c>
      <c r="F25" s="11" t="s">
        <v>28</v>
      </c>
      <c r="G25" s="13"/>
      <c r="H25" s="13"/>
      <c r="I25" s="13" t="s">
        <v>38</v>
      </c>
      <c r="J25" s="12" t="str">
        <f>IFERROR(VLOOKUP(I25,[1]aux!$A$1:$B$5,2,FALSE),"")</f>
        <v>0258</v>
      </c>
      <c r="K25" s="11" t="s">
        <v>35</v>
      </c>
      <c r="L25" s="12" t="str">
        <f>IFERROR(VLOOKUP(K25,[1]aux!$D$1:$E$12,2,FALSE),"")</f>
        <v>000001</v>
      </c>
      <c r="M25" s="14">
        <f t="shared" si="1"/>
        <v>2305.6289839559963</v>
      </c>
      <c r="N25" s="16">
        <v>161.39402887691975</v>
      </c>
      <c r="O25" s="16">
        <v>161.39402887691975</v>
      </c>
      <c r="P25" s="16">
        <v>184.4503187164797</v>
      </c>
      <c r="Q25" s="16">
        <v>184.4503187164797</v>
      </c>
      <c r="R25" s="16">
        <v>207.50660855603965</v>
      </c>
      <c r="S25" s="16">
        <v>230.56289839559963</v>
      </c>
      <c r="T25" s="16">
        <v>184.4503187164797</v>
      </c>
      <c r="U25" s="16">
        <v>207.50660855603965</v>
      </c>
      <c r="V25" s="16">
        <v>230.56289839559963</v>
      </c>
      <c r="W25" s="16">
        <v>172.92217379669972</v>
      </c>
      <c r="X25" s="16">
        <v>172.92217379669972</v>
      </c>
      <c r="Y25" s="16">
        <v>207.50660855603965</v>
      </c>
    </row>
    <row r="26" spans="1:25" x14ac:dyDescent="0.2">
      <c r="A26" s="10" t="str">
        <f t="shared" si="0"/>
        <v>FRANQUIA</v>
      </c>
      <c r="B26" s="13" t="s">
        <v>25</v>
      </c>
      <c r="C26" s="12" t="str">
        <f>IFERROR(VLOOKUP(B26,[1]aux!$G$1:$H$55,2,FALSE),"")</f>
        <v>TSE104</v>
      </c>
      <c r="D26" s="13" t="s">
        <v>26</v>
      </c>
      <c r="E26" s="13" t="s">
        <v>27</v>
      </c>
      <c r="F26" s="11" t="s">
        <v>28</v>
      </c>
      <c r="G26" s="13"/>
      <c r="H26" s="13"/>
      <c r="I26" s="13" t="s">
        <v>40</v>
      </c>
      <c r="J26" s="12"/>
      <c r="K26" s="11" t="s">
        <v>35</v>
      </c>
      <c r="L26" s="12"/>
      <c r="M26" s="14">
        <f t="shared" si="1"/>
        <v>3960000</v>
      </c>
      <c r="N26" s="16">
        <v>270072</v>
      </c>
      <c r="O26" s="16">
        <v>280764</v>
      </c>
      <c r="P26" s="16">
        <v>322344</v>
      </c>
      <c r="Q26" s="16">
        <v>332640</v>
      </c>
      <c r="R26" s="16">
        <v>342936</v>
      </c>
      <c r="S26" s="16">
        <v>353232</v>
      </c>
      <c r="T26" s="16">
        <v>332640</v>
      </c>
      <c r="U26" s="16">
        <v>342936</v>
      </c>
      <c r="V26" s="16">
        <v>353232</v>
      </c>
      <c r="W26" s="16">
        <v>332640</v>
      </c>
      <c r="X26" s="16">
        <v>342936</v>
      </c>
      <c r="Y26" s="16">
        <v>353628</v>
      </c>
    </row>
    <row r="27" spans="1:25" x14ac:dyDescent="0.2">
      <c r="A27" s="10" t="str">
        <f t="shared" si="0"/>
        <v>FRANQUIA</v>
      </c>
      <c r="B27" s="13" t="s">
        <v>25</v>
      </c>
      <c r="C27" s="12" t="str">
        <f>IFERROR(VLOOKUP(B27,[1]aux!$G$1:$H$55,2,FALSE),"")</f>
        <v>TSE104</v>
      </c>
      <c r="D27" s="13" t="s">
        <v>26</v>
      </c>
      <c r="E27" s="13" t="s">
        <v>27</v>
      </c>
      <c r="F27" s="11" t="s">
        <v>28</v>
      </c>
      <c r="G27" s="13"/>
      <c r="H27" s="13"/>
      <c r="I27" s="13" t="s">
        <v>41</v>
      </c>
      <c r="J27" s="12"/>
      <c r="K27" s="11" t="s">
        <v>35</v>
      </c>
      <c r="L27" s="12"/>
      <c r="M27" s="14">
        <f t="shared" si="1"/>
        <v>40000</v>
      </c>
      <c r="N27" s="16">
        <v>2800.0000000000005</v>
      </c>
      <c r="O27" s="16">
        <v>2800.0000000000005</v>
      </c>
      <c r="P27" s="16">
        <v>3200</v>
      </c>
      <c r="Q27" s="16">
        <v>3200</v>
      </c>
      <c r="R27" s="16">
        <v>3600</v>
      </c>
      <c r="S27" s="16">
        <v>4000</v>
      </c>
      <c r="T27" s="16">
        <v>3200</v>
      </c>
      <c r="U27" s="16">
        <v>3600</v>
      </c>
      <c r="V27" s="16">
        <v>4000</v>
      </c>
      <c r="W27" s="16">
        <v>3000</v>
      </c>
      <c r="X27" s="16">
        <v>3000</v>
      </c>
      <c r="Y27" s="16">
        <v>3600</v>
      </c>
    </row>
    <row r="28" spans="1:25" x14ac:dyDescent="0.2">
      <c r="A28" s="10" t="str">
        <f t="shared" si="0"/>
        <v>FRANQUIA</v>
      </c>
      <c r="B28" s="13" t="s">
        <v>25</v>
      </c>
      <c r="C28" s="12" t="str">
        <f>IFERROR(VLOOKUP(B28,[1]aux!$G$1:$H$55,2,FALSE),"")</f>
        <v>TSE104</v>
      </c>
      <c r="D28" s="13" t="s">
        <v>26</v>
      </c>
      <c r="E28" s="13" t="s">
        <v>27</v>
      </c>
      <c r="F28" s="11" t="s">
        <v>28</v>
      </c>
      <c r="G28" s="13"/>
      <c r="H28" s="13"/>
      <c r="I28" s="13" t="s">
        <v>42</v>
      </c>
      <c r="J28" s="12"/>
      <c r="K28" s="11" t="s">
        <v>35</v>
      </c>
      <c r="L28" s="12"/>
      <c r="M28" s="14">
        <f t="shared" si="1"/>
        <v>24000</v>
      </c>
      <c r="N28" s="16">
        <v>1680.0000000000002</v>
      </c>
      <c r="O28" s="16">
        <v>1680.0000000000002</v>
      </c>
      <c r="P28" s="16">
        <v>1920</v>
      </c>
      <c r="Q28" s="16">
        <v>1920</v>
      </c>
      <c r="R28" s="16">
        <v>2160</v>
      </c>
      <c r="S28" s="16">
        <v>2400</v>
      </c>
      <c r="T28" s="16">
        <v>1920</v>
      </c>
      <c r="U28" s="16">
        <v>2160</v>
      </c>
      <c r="V28" s="16">
        <v>2400</v>
      </c>
      <c r="W28" s="16">
        <v>1800</v>
      </c>
      <c r="X28" s="16">
        <v>1800</v>
      </c>
      <c r="Y28" s="16">
        <v>2160</v>
      </c>
    </row>
    <row r="29" spans="1:25" x14ac:dyDescent="0.2">
      <c r="A29" s="10" t="str">
        <f t="shared" si="0"/>
        <v>FRANQUIA</v>
      </c>
      <c r="B29" s="13" t="s">
        <v>25</v>
      </c>
      <c r="C29" s="12" t="str">
        <f>IFERROR(VLOOKUP(B29,[1]aux!$G$1:$H$55,2,FALSE),"")</f>
        <v>TSE104</v>
      </c>
      <c r="D29" s="13" t="s">
        <v>43</v>
      </c>
      <c r="E29" s="13" t="s">
        <v>44</v>
      </c>
      <c r="F29" s="11" t="s">
        <v>45</v>
      </c>
      <c r="G29" s="13" t="s">
        <v>26</v>
      </c>
      <c r="H29" s="13" t="s">
        <v>27</v>
      </c>
      <c r="I29" s="11" t="s">
        <v>29</v>
      </c>
      <c r="J29" s="12" t="str">
        <f>IFERROR(VLOOKUP(I29,[1]aux!$A$1:$B$5,2,FALSE),"")</f>
        <v>0203</v>
      </c>
      <c r="K29" s="11" t="s">
        <v>30</v>
      </c>
      <c r="L29" s="12" t="str">
        <f>IFERROR(VLOOKUP(K29,[1]aux!$D$1:$E$12,2,FALSE),"")</f>
        <v>000002</v>
      </c>
      <c r="M29" s="14">
        <f t="shared" si="1"/>
        <v>5605.8842080336026</v>
      </c>
      <c r="N29" s="15">
        <v>840.88263120504018</v>
      </c>
      <c r="O29" s="15">
        <v>420.44131560252009</v>
      </c>
      <c r="P29" s="15">
        <v>420.44131560252009</v>
      </c>
      <c r="Q29" s="15">
        <v>420.44131560252009</v>
      </c>
      <c r="R29" s="15">
        <v>420.44131560252009</v>
      </c>
      <c r="S29" s="15">
        <v>504.52957872302414</v>
      </c>
      <c r="T29" s="15">
        <v>420.44131560252009</v>
      </c>
      <c r="U29" s="15">
        <v>420.44131560252009</v>
      </c>
      <c r="V29" s="15">
        <v>504.52957872302414</v>
      </c>
      <c r="W29" s="15">
        <v>392.41189456235213</v>
      </c>
      <c r="X29" s="15">
        <v>392.41189456235213</v>
      </c>
      <c r="Y29" s="15">
        <v>448.47073664268817</v>
      </c>
    </row>
    <row r="30" spans="1:25" x14ac:dyDescent="0.2">
      <c r="A30" s="10" t="str">
        <f t="shared" si="0"/>
        <v>FRANQUIA</v>
      </c>
      <c r="B30" s="13" t="s">
        <v>25</v>
      </c>
      <c r="C30" s="12" t="str">
        <f>IFERROR(VLOOKUP(B30,[1]aux!$G$1:$H$55,2,FALSE),"")</f>
        <v>TSE104</v>
      </c>
      <c r="D30" s="13" t="s">
        <v>43</v>
      </c>
      <c r="E30" s="13" t="s">
        <v>44</v>
      </c>
      <c r="F30" s="11" t="s">
        <v>45</v>
      </c>
      <c r="G30" s="13" t="s">
        <v>26</v>
      </c>
      <c r="H30" s="13" t="s">
        <v>27</v>
      </c>
      <c r="I30" s="11" t="s">
        <v>29</v>
      </c>
      <c r="J30" s="12" t="str">
        <f>IFERROR(VLOOKUP(I30,[1]aux!$A$1:$B$5,2,FALSE),"")</f>
        <v>0203</v>
      </c>
      <c r="K30" s="11" t="s">
        <v>31</v>
      </c>
      <c r="L30" s="12" t="str">
        <f>IFERROR(VLOOKUP(K30,[1]aux!$D$1:$E$12,2,FALSE),"")</f>
        <v>000005</v>
      </c>
      <c r="M30" s="14">
        <f t="shared" si="1"/>
        <v>56058.84208033602</v>
      </c>
      <c r="N30" s="15">
        <v>8408.8263120504034</v>
      </c>
      <c r="O30" s="15">
        <v>4204.4131560252017</v>
      </c>
      <c r="P30" s="15">
        <v>4204.4131560252017</v>
      </c>
      <c r="Q30" s="15">
        <v>4204.4131560252017</v>
      </c>
      <c r="R30" s="15">
        <v>4204.4131560252017</v>
      </c>
      <c r="S30" s="15">
        <v>5045.2957872302413</v>
      </c>
      <c r="T30" s="15">
        <v>4204.4131560252017</v>
      </c>
      <c r="U30" s="15">
        <v>4204.4131560252017</v>
      </c>
      <c r="V30" s="15">
        <v>5045.2957872302413</v>
      </c>
      <c r="W30" s="15">
        <v>3924.118945623522</v>
      </c>
      <c r="X30" s="15">
        <v>3924.118945623522</v>
      </c>
      <c r="Y30" s="15">
        <v>4484.7073664268819</v>
      </c>
    </row>
    <row r="31" spans="1:25" x14ac:dyDescent="0.2">
      <c r="A31" s="10" t="str">
        <f t="shared" si="0"/>
        <v>FRANQUIA</v>
      </c>
      <c r="B31" s="13" t="s">
        <v>25</v>
      </c>
      <c r="C31" s="12" t="str">
        <f>IFERROR(VLOOKUP(B31,[1]aux!$G$1:$H$55,2,FALSE),"")</f>
        <v>TSE104</v>
      </c>
      <c r="D31" s="13" t="s">
        <v>43</v>
      </c>
      <c r="E31" s="13" t="s">
        <v>44</v>
      </c>
      <c r="F31" s="11" t="s">
        <v>45</v>
      </c>
      <c r="G31" s="13" t="s">
        <v>26</v>
      </c>
      <c r="H31" s="13" t="s">
        <v>27</v>
      </c>
      <c r="I31" s="11" t="s">
        <v>29</v>
      </c>
      <c r="J31" s="12" t="str">
        <f>IFERROR(VLOOKUP(I31,[1]aux!$A$1:$B$5,2,FALSE),"")</f>
        <v>0203</v>
      </c>
      <c r="K31" s="11" t="s">
        <v>32</v>
      </c>
      <c r="L31" s="12" t="str">
        <f>IFERROR(VLOOKUP(K31,[1]aux!$D$1:$E$12,2,FALSE),"")</f>
        <v>000013</v>
      </c>
      <c r="M31" s="14">
        <f t="shared" si="1"/>
        <v>56058.84208033602</v>
      </c>
      <c r="N31" s="15">
        <v>8408.8263120504034</v>
      </c>
      <c r="O31" s="15">
        <v>4204.4131560252017</v>
      </c>
      <c r="P31" s="15">
        <v>4204.4131560252017</v>
      </c>
      <c r="Q31" s="15">
        <v>4204.4131560252017</v>
      </c>
      <c r="R31" s="15">
        <v>4204.4131560252017</v>
      </c>
      <c r="S31" s="15">
        <v>5045.2957872302413</v>
      </c>
      <c r="T31" s="15">
        <v>4204.4131560252017</v>
      </c>
      <c r="U31" s="15">
        <v>4204.4131560252017</v>
      </c>
      <c r="V31" s="15">
        <v>5045.2957872302413</v>
      </c>
      <c r="W31" s="15">
        <v>3924.118945623522</v>
      </c>
      <c r="X31" s="15">
        <v>3924.118945623522</v>
      </c>
      <c r="Y31" s="15">
        <v>4484.7073664268819</v>
      </c>
    </row>
    <row r="32" spans="1:25" x14ac:dyDescent="0.2">
      <c r="A32" s="10" t="str">
        <f t="shared" si="0"/>
        <v>FRANQUIA</v>
      </c>
      <c r="B32" s="13" t="s">
        <v>25</v>
      </c>
      <c r="C32" s="12" t="str">
        <f>IFERROR(VLOOKUP(B32,[1]aux!$G$1:$H$55,2,FALSE),"")</f>
        <v>TSE104</v>
      </c>
      <c r="D32" s="13" t="s">
        <v>43</v>
      </c>
      <c r="E32" s="13" t="s">
        <v>44</v>
      </c>
      <c r="F32" s="11" t="s">
        <v>45</v>
      </c>
      <c r="G32" s="13" t="s">
        <v>26</v>
      </c>
      <c r="H32" s="13" t="s">
        <v>27</v>
      </c>
      <c r="I32" s="11" t="s">
        <v>29</v>
      </c>
      <c r="J32" s="12" t="str">
        <f>IFERROR(VLOOKUP(I32,[1]aux!$A$1:$B$5,2,FALSE),"")</f>
        <v>0203</v>
      </c>
      <c r="K32" s="11" t="s">
        <v>33</v>
      </c>
      <c r="L32" s="12" t="str">
        <f>IFERROR(VLOOKUP(K32,[1]aux!$D$1:$E$12,2,FALSE),"")</f>
        <v>000003</v>
      </c>
      <c r="M32" s="14">
        <f t="shared" si="1"/>
        <v>56058.84208033602</v>
      </c>
      <c r="N32" s="15">
        <v>8408.8263120504034</v>
      </c>
      <c r="O32" s="15">
        <v>4204.4131560252017</v>
      </c>
      <c r="P32" s="15">
        <v>4204.4131560252017</v>
      </c>
      <c r="Q32" s="15">
        <v>4204.4131560252017</v>
      </c>
      <c r="R32" s="15">
        <v>4204.4131560252017</v>
      </c>
      <c r="S32" s="15">
        <v>5045.2957872302413</v>
      </c>
      <c r="T32" s="15">
        <v>4204.4131560252017</v>
      </c>
      <c r="U32" s="15">
        <v>4204.4131560252017</v>
      </c>
      <c r="V32" s="15">
        <v>5045.2957872302413</v>
      </c>
      <c r="W32" s="15">
        <v>3924.118945623522</v>
      </c>
      <c r="X32" s="15">
        <v>3924.118945623522</v>
      </c>
      <c r="Y32" s="15">
        <v>4484.7073664268819</v>
      </c>
    </row>
    <row r="33" spans="1:25" x14ac:dyDescent="0.2">
      <c r="A33" s="10" t="str">
        <f t="shared" si="0"/>
        <v>FRANQUIA</v>
      </c>
      <c r="B33" s="13" t="s">
        <v>25</v>
      </c>
      <c r="C33" s="12" t="str">
        <f>IFERROR(VLOOKUP(B33,[1]aux!$G$1:$H$55,2,FALSE),"")</f>
        <v>TSE104</v>
      </c>
      <c r="D33" s="13" t="s">
        <v>43</v>
      </c>
      <c r="E33" s="13" t="s">
        <v>44</v>
      </c>
      <c r="F33" s="11" t="s">
        <v>45</v>
      </c>
      <c r="G33" s="13" t="s">
        <v>26</v>
      </c>
      <c r="H33" s="13" t="s">
        <v>27</v>
      </c>
      <c r="I33" s="11" t="s">
        <v>29</v>
      </c>
      <c r="J33" s="12" t="str">
        <f>IFERROR(VLOOKUP(I33,[1]aux!$A$1:$B$5,2,FALSE),"")</f>
        <v>0203</v>
      </c>
      <c r="K33" s="11" t="s">
        <v>34</v>
      </c>
      <c r="L33" s="12" t="str">
        <f>IFERROR(VLOOKUP(K33,[1]aux!$D$1:$E$12,2,FALSE),"")</f>
        <v>000014</v>
      </c>
      <c r="M33" s="14">
        <f t="shared" si="1"/>
        <v>56058.84208033602</v>
      </c>
      <c r="N33" s="15">
        <v>8408.8263120504034</v>
      </c>
      <c r="O33" s="15">
        <v>4204.4131560252017</v>
      </c>
      <c r="P33" s="15">
        <v>4204.4131560252017</v>
      </c>
      <c r="Q33" s="15">
        <v>4204.4131560252017</v>
      </c>
      <c r="R33" s="15">
        <v>4204.4131560252017</v>
      </c>
      <c r="S33" s="15">
        <v>5045.2957872302413</v>
      </c>
      <c r="T33" s="15">
        <v>4204.4131560252017</v>
      </c>
      <c r="U33" s="15">
        <v>4204.4131560252017</v>
      </c>
      <c r="V33" s="15">
        <v>5045.2957872302413</v>
      </c>
      <c r="W33" s="15">
        <v>3924.118945623522</v>
      </c>
      <c r="X33" s="15">
        <v>3924.118945623522</v>
      </c>
      <c r="Y33" s="15">
        <v>4484.7073664268819</v>
      </c>
    </row>
    <row r="34" spans="1:25" x14ac:dyDescent="0.2">
      <c r="A34" s="10" t="str">
        <f t="shared" si="0"/>
        <v>FRANQUIA</v>
      </c>
      <c r="B34" s="13" t="s">
        <v>25</v>
      </c>
      <c r="C34" s="12" t="str">
        <f>IFERROR(VLOOKUP(B34,[1]aux!$G$1:$H$55,2,FALSE),"")</f>
        <v>TSE104</v>
      </c>
      <c r="D34" s="13" t="s">
        <v>43</v>
      </c>
      <c r="E34" s="13" t="s">
        <v>44</v>
      </c>
      <c r="F34" s="11" t="s">
        <v>45</v>
      </c>
      <c r="G34" s="13" t="s">
        <v>26</v>
      </c>
      <c r="H34" s="13" t="s">
        <v>27</v>
      </c>
      <c r="I34" s="11" t="s">
        <v>29</v>
      </c>
      <c r="J34" s="12" t="str">
        <f>IFERROR(VLOOKUP(I34,[1]aux!$A$1:$B$5,2,FALSE),"")</f>
        <v>0203</v>
      </c>
      <c r="K34" s="11" t="s">
        <v>35</v>
      </c>
      <c r="L34" s="12" t="str">
        <f>IFERROR(VLOOKUP(K34,[1]aux!$D$1:$E$12,2,FALSE),"")</f>
        <v>000001</v>
      </c>
      <c r="M34" s="14">
        <f t="shared" si="1"/>
        <v>190600.06307314243</v>
      </c>
      <c r="N34" s="15">
        <v>28590.009460971367</v>
      </c>
      <c r="O34" s="15">
        <v>14295.004730485683</v>
      </c>
      <c r="P34" s="15">
        <v>14295.004730485683</v>
      </c>
      <c r="Q34" s="15">
        <v>14295.004730485683</v>
      </c>
      <c r="R34" s="15">
        <v>14295.004730485683</v>
      </c>
      <c r="S34" s="15">
        <v>17154.005676582819</v>
      </c>
      <c r="T34" s="15">
        <v>14295.004730485683</v>
      </c>
      <c r="U34" s="15">
        <v>14295.004730485683</v>
      </c>
      <c r="V34" s="15">
        <v>17154.005676582819</v>
      </c>
      <c r="W34" s="15">
        <v>13342.004415119973</v>
      </c>
      <c r="X34" s="15">
        <v>13342.004415119973</v>
      </c>
      <c r="Y34" s="15">
        <v>15248.005045851398</v>
      </c>
    </row>
    <row r="35" spans="1:25" x14ac:dyDescent="0.2">
      <c r="A35" s="10" t="str">
        <f t="shared" si="0"/>
        <v>FRANQUIA</v>
      </c>
      <c r="B35" s="13" t="s">
        <v>25</v>
      </c>
      <c r="C35" s="12" t="str">
        <f>IFERROR(VLOOKUP(B35,[1]aux!$G$1:$H$55,2,FALSE),"")</f>
        <v>TSE104</v>
      </c>
      <c r="D35" s="13" t="s">
        <v>43</v>
      </c>
      <c r="E35" s="13" t="s">
        <v>44</v>
      </c>
      <c r="F35" s="11" t="s">
        <v>45</v>
      </c>
      <c r="G35" s="13" t="s">
        <v>26</v>
      </c>
      <c r="H35" s="13" t="s">
        <v>27</v>
      </c>
      <c r="I35" s="11" t="s">
        <v>29</v>
      </c>
      <c r="J35" s="12" t="str">
        <f>IFERROR(VLOOKUP(I35,[1]aux!$A$1:$B$5,2,FALSE),"")</f>
        <v>0203</v>
      </c>
      <c r="K35" s="11" t="s">
        <v>36</v>
      </c>
      <c r="L35" s="12" t="str">
        <f>IFERROR(VLOOKUP(K35,[1]aux!$D$1:$E$12,2,FALSE),"")</f>
        <v>000010</v>
      </c>
      <c r="M35" s="14">
        <f t="shared" si="1"/>
        <v>56058.84208033602</v>
      </c>
      <c r="N35" s="15">
        <v>8408.8263120504034</v>
      </c>
      <c r="O35" s="15">
        <v>4204.4131560252017</v>
      </c>
      <c r="P35" s="15">
        <v>4204.4131560252017</v>
      </c>
      <c r="Q35" s="15">
        <v>4204.4131560252017</v>
      </c>
      <c r="R35" s="15">
        <v>4204.4131560252017</v>
      </c>
      <c r="S35" s="15">
        <v>5045.2957872302413</v>
      </c>
      <c r="T35" s="15">
        <v>4204.4131560252017</v>
      </c>
      <c r="U35" s="15">
        <v>4204.4131560252017</v>
      </c>
      <c r="V35" s="15">
        <v>5045.2957872302413</v>
      </c>
      <c r="W35" s="15">
        <v>3924.118945623522</v>
      </c>
      <c r="X35" s="15">
        <v>3924.118945623522</v>
      </c>
      <c r="Y35" s="15">
        <v>4484.7073664268819</v>
      </c>
    </row>
    <row r="36" spans="1:25" x14ac:dyDescent="0.2">
      <c r="A36" s="10" t="str">
        <f t="shared" si="0"/>
        <v>FRANQUIA</v>
      </c>
      <c r="B36" s="13" t="s">
        <v>25</v>
      </c>
      <c r="C36" s="12" t="str">
        <f>IFERROR(VLOOKUP(B36,[1]aux!$G$1:$H$55,2,FALSE),"")</f>
        <v>TSE104</v>
      </c>
      <c r="D36" s="13" t="s">
        <v>43</v>
      </c>
      <c r="E36" s="13" t="s">
        <v>44</v>
      </c>
      <c r="F36" s="11" t="s">
        <v>45</v>
      </c>
      <c r="G36" s="13" t="s">
        <v>26</v>
      </c>
      <c r="H36" s="13" t="s">
        <v>27</v>
      </c>
      <c r="I36" s="11" t="s">
        <v>29</v>
      </c>
      <c r="J36" s="12" t="str">
        <f>IFERROR(VLOOKUP(I36,[1]aux!$A$1:$B$5,2,FALSE),"")</f>
        <v>0203</v>
      </c>
      <c r="K36" s="11" t="s">
        <v>37</v>
      </c>
      <c r="L36" s="12" t="str">
        <f>IFERROR(VLOOKUP(K36,[1]aux!$D$1:$E$12,2,FALSE),"")</f>
        <v>000009</v>
      </c>
      <c r="M36" s="14">
        <f t="shared" si="1"/>
        <v>84088.263120504009</v>
      </c>
      <c r="N36" s="15">
        <v>12613.239468075601</v>
      </c>
      <c r="O36" s="15">
        <v>6306.6197340378003</v>
      </c>
      <c r="P36" s="15">
        <v>6306.6197340378003</v>
      </c>
      <c r="Q36" s="15">
        <v>6306.6197340378003</v>
      </c>
      <c r="R36" s="15">
        <v>6306.6197340378003</v>
      </c>
      <c r="S36" s="15">
        <v>7567.9436808453602</v>
      </c>
      <c r="T36" s="15">
        <v>6306.6197340378003</v>
      </c>
      <c r="U36" s="15">
        <v>6306.6197340378003</v>
      </c>
      <c r="V36" s="15">
        <v>7567.9436808453602</v>
      </c>
      <c r="W36" s="15">
        <v>5886.1784184352809</v>
      </c>
      <c r="X36" s="15">
        <v>5886.1784184352809</v>
      </c>
      <c r="Y36" s="15">
        <v>6727.0610496403206</v>
      </c>
    </row>
    <row r="37" spans="1:25" x14ac:dyDescent="0.2">
      <c r="A37" s="10" t="str">
        <f t="shared" si="0"/>
        <v>FRANQUIA</v>
      </c>
      <c r="B37" s="13" t="s">
        <v>25</v>
      </c>
      <c r="C37" s="12" t="str">
        <f>IFERROR(VLOOKUP(B37,[1]aux!$G$1:$H$55,2,FALSE),"")</f>
        <v>TSE104</v>
      </c>
      <c r="D37" s="13" t="s">
        <v>43</v>
      </c>
      <c r="E37" s="13" t="s">
        <v>44</v>
      </c>
      <c r="F37" s="11" t="s">
        <v>45</v>
      </c>
      <c r="G37" s="13" t="s">
        <v>26</v>
      </c>
      <c r="H37" s="13" t="s">
        <v>27</v>
      </c>
      <c r="I37" s="11" t="s">
        <v>38</v>
      </c>
      <c r="J37" s="12" t="str">
        <f>IFERROR(VLOOKUP(I37,[1]aux!$A$1:$B$5,2,FALSE),"")</f>
        <v>0258</v>
      </c>
      <c r="K37" s="11" t="s">
        <v>30</v>
      </c>
      <c r="L37" s="12" t="str">
        <f>IFERROR(VLOOKUP(K37,[1]aux!$D$1:$E$12,2,FALSE),"")</f>
        <v>000002</v>
      </c>
      <c r="M37" s="14">
        <f t="shared" si="1"/>
        <v>5996</v>
      </c>
      <c r="N37" s="15">
        <v>419.72</v>
      </c>
      <c r="O37" s="15">
        <v>419.72</v>
      </c>
      <c r="P37" s="15">
        <v>479.68</v>
      </c>
      <c r="Q37" s="15">
        <v>479.68</v>
      </c>
      <c r="R37" s="15">
        <v>539.64</v>
      </c>
      <c r="S37" s="15">
        <v>599.6</v>
      </c>
      <c r="T37" s="15">
        <v>479.68</v>
      </c>
      <c r="U37" s="15">
        <v>539.64</v>
      </c>
      <c r="V37" s="15">
        <v>599.6</v>
      </c>
      <c r="W37" s="15">
        <v>449.7</v>
      </c>
      <c r="X37" s="15">
        <v>449.7</v>
      </c>
      <c r="Y37" s="15">
        <v>539.64</v>
      </c>
    </row>
    <row r="38" spans="1:25" x14ac:dyDescent="0.2">
      <c r="A38" s="10" t="str">
        <f t="shared" si="0"/>
        <v>FRANQUIA</v>
      </c>
      <c r="B38" s="13" t="s">
        <v>25</v>
      </c>
      <c r="C38" s="12" t="str">
        <f>IFERROR(VLOOKUP(B38,[1]aux!$G$1:$H$55,2,FALSE),"")</f>
        <v>TSE104</v>
      </c>
      <c r="D38" s="13" t="s">
        <v>43</v>
      </c>
      <c r="E38" s="13" t="s">
        <v>44</v>
      </c>
      <c r="F38" s="11" t="s">
        <v>45</v>
      </c>
      <c r="G38" s="13" t="s">
        <v>26</v>
      </c>
      <c r="H38" s="13" t="s">
        <v>27</v>
      </c>
      <c r="I38" s="11" t="s">
        <v>38</v>
      </c>
      <c r="J38" s="12" t="str">
        <f>IFERROR(VLOOKUP(I38,[1]aux!$A$1:$B$5,2,FALSE),"")</f>
        <v>0258</v>
      </c>
      <c r="K38" s="11" t="s">
        <v>31</v>
      </c>
      <c r="L38" s="12" t="str">
        <f>IFERROR(VLOOKUP(K38,[1]aux!$D$1:$E$12,2,FALSE),"")</f>
        <v>000005</v>
      </c>
      <c r="M38" s="14">
        <f t="shared" si="1"/>
        <v>28978.000117864205</v>
      </c>
      <c r="N38" s="15">
        <v>2028.4600082504942</v>
      </c>
      <c r="O38" s="15">
        <v>2028.4600082504942</v>
      </c>
      <c r="P38" s="15">
        <v>2318.2400094291361</v>
      </c>
      <c r="Q38" s="15">
        <v>2318.2400094291361</v>
      </c>
      <c r="R38" s="15">
        <v>2608.0200106077782</v>
      </c>
      <c r="S38" s="15">
        <v>2897.8000117864203</v>
      </c>
      <c r="T38" s="15">
        <v>2318.2400094291361</v>
      </c>
      <c r="U38" s="15">
        <v>2608.0200106077782</v>
      </c>
      <c r="V38" s="15">
        <v>2897.8000117864203</v>
      </c>
      <c r="W38" s="15">
        <v>2173.350008839815</v>
      </c>
      <c r="X38" s="15">
        <v>2173.350008839815</v>
      </c>
      <c r="Y38" s="15">
        <v>2608.0200106077782</v>
      </c>
    </row>
    <row r="39" spans="1:25" x14ac:dyDescent="0.2">
      <c r="A39" s="10" t="str">
        <f t="shared" si="0"/>
        <v>FRANQUIA</v>
      </c>
      <c r="B39" s="13" t="s">
        <v>25</v>
      </c>
      <c r="C39" s="12" t="str">
        <f>IFERROR(VLOOKUP(B39,[1]aux!$G$1:$H$55,2,FALSE),"")</f>
        <v>TSE104</v>
      </c>
      <c r="D39" s="13" t="s">
        <v>43</v>
      </c>
      <c r="E39" s="13" t="s">
        <v>44</v>
      </c>
      <c r="F39" s="11" t="s">
        <v>45</v>
      </c>
      <c r="G39" s="13" t="s">
        <v>26</v>
      </c>
      <c r="H39" s="13" t="s">
        <v>27</v>
      </c>
      <c r="I39" s="11" t="s">
        <v>38</v>
      </c>
      <c r="J39" s="12" t="str">
        <f>IFERROR(VLOOKUP(I39,[1]aux!$A$1:$B$5,2,FALSE),"")</f>
        <v>0258</v>
      </c>
      <c r="K39" s="11" t="s">
        <v>32</v>
      </c>
      <c r="L39" s="12" t="str">
        <f>IFERROR(VLOOKUP(K39,[1]aux!$D$1:$E$12,2,FALSE),"")</f>
        <v>000013</v>
      </c>
      <c r="M39" s="14">
        <f t="shared" si="1"/>
        <v>40912.60047138761</v>
      </c>
      <c r="N39" s="15">
        <v>2863.8820329971331</v>
      </c>
      <c r="O39" s="15">
        <v>2863.8820329971331</v>
      </c>
      <c r="P39" s="15">
        <v>3273.0080377110089</v>
      </c>
      <c r="Q39" s="15">
        <v>3273.0080377110089</v>
      </c>
      <c r="R39" s="15">
        <v>3682.1340424248847</v>
      </c>
      <c r="S39" s="15">
        <v>4091.2600471387614</v>
      </c>
      <c r="T39" s="15">
        <v>3273.0080377110089</v>
      </c>
      <c r="U39" s="15">
        <v>3682.1340424248847</v>
      </c>
      <c r="V39" s="15">
        <v>4091.2600471387614</v>
      </c>
      <c r="W39" s="15">
        <v>3068.4450353540706</v>
      </c>
      <c r="X39" s="15">
        <v>3068.4450353540706</v>
      </c>
      <c r="Y39" s="15">
        <v>3682.1340424248847</v>
      </c>
    </row>
    <row r="40" spans="1:25" x14ac:dyDescent="0.2">
      <c r="A40" s="10" t="str">
        <f t="shared" si="0"/>
        <v>FRANQUIA</v>
      </c>
      <c r="B40" s="13" t="s">
        <v>25</v>
      </c>
      <c r="C40" s="12" t="str">
        <f>IFERROR(VLOOKUP(B40,[1]aux!$G$1:$H$55,2,FALSE),"")</f>
        <v>TSE104</v>
      </c>
      <c r="D40" s="13" t="s">
        <v>43</v>
      </c>
      <c r="E40" s="13" t="s">
        <v>44</v>
      </c>
      <c r="F40" s="11" t="s">
        <v>45</v>
      </c>
      <c r="G40" s="13" t="s">
        <v>26</v>
      </c>
      <c r="H40" s="13" t="s">
        <v>27</v>
      </c>
      <c r="I40" s="11" t="s">
        <v>38</v>
      </c>
      <c r="J40" s="12" t="str">
        <f>IFERROR(VLOOKUP(I40,[1]aux!$A$1:$B$5,2,FALSE),"")</f>
        <v>0258</v>
      </c>
      <c r="K40" s="11" t="s">
        <v>33</v>
      </c>
      <c r="L40" s="12" t="str">
        <f>IFERROR(VLOOKUP(K40,[1]aux!$D$1:$E$12,2,FALSE),"")</f>
        <v>000003</v>
      </c>
      <c r="M40" s="14">
        <f t="shared" si="1"/>
        <v>28978.000117864205</v>
      </c>
      <c r="N40" s="15">
        <v>2028.4600082504942</v>
      </c>
      <c r="O40" s="15">
        <v>2028.4600082504942</v>
      </c>
      <c r="P40" s="15">
        <v>2318.2400094291361</v>
      </c>
      <c r="Q40" s="15">
        <v>2318.2400094291361</v>
      </c>
      <c r="R40" s="15">
        <v>2608.0200106077782</v>
      </c>
      <c r="S40" s="15">
        <v>2897.8000117864203</v>
      </c>
      <c r="T40" s="15">
        <v>2318.2400094291361</v>
      </c>
      <c r="U40" s="15">
        <v>2608.0200106077782</v>
      </c>
      <c r="V40" s="15">
        <v>2897.8000117864203</v>
      </c>
      <c r="W40" s="15">
        <v>2173.350008839815</v>
      </c>
      <c r="X40" s="15">
        <v>2173.350008839815</v>
      </c>
      <c r="Y40" s="15">
        <v>2608.0200106077782</v>
      </c>
    </row>
    <row r="41" spans="1:25" x14ac:dyDescent="0.2">
      <c r="A41" s="10" t="str">
        <f t="shared" si="0"/>
        <v>FRANQUIA</v>
      </c>
      <c r="B41" s="13" t="s">
        <v>25</v>
      </c>
      <c r="C41" s="12" t="str">
        <f>IFERROR(VLOOKUP(B41,[1]aux!$G$1:$H$55,2,FALSE),"")</f>
        <v>TSE104</v>
      </c>
      <c r="D41" s="13" t="s">
        <v>43</v>
      </c>
      <c r="E41" s="13" t="s">
        <v>44</v>
      </c>
      <c r="F41" s="11" t="s">
        <v>45</v>
      </c>
      <c r="G41" s="13" t="s">
        <v>26</v>
      </c>
      <c r="H41" s="13" t="s">
        <v>27</v>
      </c>
      <c r="I41" s="11" t="s">
        <v>38</v>
      </c>
      <c r="J41" s="12" t="str">
        <f>IFERROR(VLOOKUP(I41,[1]aux!$A$1:$B$5,2,FALSE),"")</f>
        <v>0258</v>
      </c>
      <c r="K41" s="11" t="s">
        <v>34</v>
      </c>
      <c r="L41" s="12" t="str">
        <f>IFERROR(VLOOKUP(K41,[1]aux!$D$1:$E$12,2,FALSE),"")</f>
        <v>000014</v>
      </c>
      <c r="M41" s="14">
        <f t="shared" si="1"/>
        <v>28978.000117864205</v>
      </c>
      <c r="N41" s="15">
        <v>2028.4600082504942</v>
      </c>
      <c r="O41" s="15">
        <v>2028.4600082504942</v>
      </c>
      <c r="P41" s="15">
        <v>2318.2400094291361</v>
      </c>
      <c r="Q41" s="15">
        <v>2318.2400094291361</v>
      </c>
      <c r="R41" s="15">
        <v>2608.0200106077782</v>
      </c>
      <c r="S41" s="15">
        <v>2897.8000117864203</v>
      </c>
      <c r="T41" s="15">
        <v>2318.2400094291361</v>
      </c>
      <c r="U41" s="15">
        <v>2608.0200106077782</v>
      </c>
      <c r="V41" s="15">
        <v>2897.8000117864203</v>
      </c>
      <c r="W41" s="15">
        <v>2173.350008839815</v>
      </c>
      <c r="X41" s="15">
        <v>2173.350008839815</v>
      </c>
      <c r="Y41" s="15">
        <v>2608.0200106077782</v>
      </c>
    </row>
    <row r="42" spans="1:25" x14ac:dyDescent="0.2">
      <c r="A42" s="10" t="str">
        <f t="shared" si="0"/>
        <v>FRANQUIA</v>
      </c>
      <c r="B42" s="13" t="s">
        <v>25</v>
      </c>
      <c r="C42" s="12" t="str">
        <f>IFERROR(VLOOKUP(B42,[1]aux!$G$1:$H$55,2,FALSE),"")</f>
        <v>TSE104</v>
      </c>
      <c r="D42" s="13" t="s">
        <v>43</v>
      </c>
      <c r="E42" s="13" t="s">
        <v>44</v>
      </c>
      <c r="F42" s="11" t="s">
        <v>45</v>
      </c>
      <c r="G42" s="13" t="s">
        <v>26</v>
      </c>
      <c r="H42" s="13" t="s">
        <v>27</v>
      </c>
      <c r="I42" s="11" t="s">
        <v>38</v>
      </c>
      <c r="J42" s="12" t="str">
        <f>IFERROR(VLOOKUP(I42,[1]aux!$A$1:$B$5,2,FALSE),"")</f>
        <v>0258</v>
      </c>
      <c r="K42" s="11" t="s">
        <v>35</v>
      </c>
      <c r="L42" s="12" t="str">
        <f>IFERROR(VLOOKUP(K42,[1]aux!$D$1:$E$12,2,FALSE),"")</f>
        <v>000001</v>
      </c>
      <c r="M42" s="14">
        <f t="shared" si="1"/>
        <v>136496.74999999991</v>
      </c>
      <c r="N42" s="15">
        <v>9554.7724999999973</v>
      </c>
      <c r="O42" s="15">
        <v>9554.7724999999973</v>
      </c>
      <c r="P42" s="15">
        <v>10919.739999999996</v>
      </c>
      <c r="Q42" s="15">
        <v>10919.739999999996</v>
      </c>
      <c r="R42" s="15">
        <v>12284.707499999995</v>
      </c>
      <c r="S42" s="15">
        <v>13649.674999999996</v>
      </c>
      <c r="T42" s="15">
        <v>10919.739999999996</v>
      </c>
      <c r="U42" s="15">
        <v>12284.707499999995</v>
      </c>
      <c r="V42" s="15">
        <v>13649.674999999996</v>
      </c>
      <c r="W42" s="15">
        <v>10237.256249999995</v>
      </c>
      <c r="X42" s="15">
        <v>10237.256249999995</v>
      </c>
      <c r="Y42" s="15">
        <v>12284.707499999995</v>
      </c>
    </row>
    <row r="43" spans="1:25" x14ac:dyDescent="0.2">
      <c r="A43" s="10" t="str">
        <f t="shared" si="0"/>
        <v>FRANQUIA</v>
      </c>
      <c r="B43" s="13" t="s">
        <v>25</v>
      </c>
      <c r="C43" s="12" t="str">
        <f>IFERROR(VLOOKUP(B43,[1]aux!$G$1:$H$55,2,FALSE),"")</f>
        <v>TSE104</v>
      </c>
      <c r="D43" s="13" t="s">
        <v>43</v>
      </c>
      <c r="E43" s="13" t="s">
        <v>44</v>
      </c>
      <c r="F43" s="11" t="s">
        <v>45</v>
      </c>
      <c r="G43" s="13" t="s">
        <v>26</v>
      </c>
      <c r="H43" s="13" t="s">
        <v>27</v>
      </c>
      <c r="I43" s="11" t="s">
        <v>38</v>
      </c>
      <c r="J43" s="12" t="str">
        <f>IFERROR(VLOOKUP(I43,[1]aux!$A$1:$B$5,2,FALSE),"")</f>
        <v>0258</v>
      </c>
      <c r="K43" s="11" t="s">
        <v>36</v>
      </c>
      <c r="L43" s="12" t="str">
        <f>IFERROR(VLOOKUP(K43,[1]aux!$D$1:$E$12,2,FALSE),"")</f>
        <v>000010</v>
      </c>
      <c r="M43" s="14">
        <f t="shared" si="1"/>
        <v>28978.000117864205</v>
      </c>
      <c r="N43" s="15">
        <v>2028.4600082504942</v>
      </c>
      <c r="O43" s="15">
        <v>2028.4600082504942</v>
      </c>
      <c r="P43" s="15">
        <v>2318.2400094291361</v>
      </c>
      <c r="Q43" s="15">
        <v>2318.2400094291361</v>
      </c>
      <c r="R43" s="15">
        <v>2608.0200106077782</v>
      </c>
      <c r="S43" s="15">
        <v>2897.8000117864203</v>
      </c>
      <c r="T43" s="15">
        <v>2318.2400094291361</v>
      </c>
      <c r="U43" s="15">
        <v>2608.0200106077782</v>
      </c>
      <c r="V43" s="15">
        <v>2897.8000117864203</v>
      </c>
      <c r="W43" s="15">
        <v>2173.350008839815</v>
      </c>
      <c r="X43" s="15">
        <v>2173.350008839815</v>
      </c>
      <c r="Y43" s="15">
        <v>2608.0200106077782</v>
      </c>
    </row>
    <row r="44" spans="1:25" x14ac:dyDescent="0.2">
      <c r="A44" s="10" t="str">
        <f t="shared" si="0"/>
        <v>FRANQUIA</v>
      </c>
      <c r="B44" s="13" t="s">
        <v>25</v>
      </c>
      <c r="C44" s="12" t="str">
        <f>IFERROR(VLOOKUP(B44,[1]aux!$G$1:$H$55,2,FALSE),"")</f>
        <v>TSE104</v>
      </c>
      <c r="D44" s="13" t="s">
        <v>43</v>
      </c>
      <c r="E44" s="13" t="s">
        <v>44</v>
      </c>
      <c r="F44" s="11" t="s">
        <v>45</v>
      </c>
      <c r="G44" s="13" t="s">
        <v>26</v>
      </c>
      <c r="H44" s="13" t="s">
        <v>27</v>
      </c>
      <c r="I44" s="11" t="s">
        <v>38</v>
      </c>
      <c r="J44" s="12" t="str">
        <f>IFERROR(VLOOKUP(I44,[1]aux!$A$1:$B$5,2,FALSE),"")</f>
        <v>0258</v>
      </c>
      <c r="K44" s="11" t="s">
        <v>37</v>
      </c>
      <c r="L44" s="12" t="str">
        <f>IFERROR(VLOOKUP(K44,[1]aux!$D$1:$E$12,2,FALSE),"")</f>
        <v>000009</v>
      </c>
      <c r="M44" s="14">
        <f t="shared" si="1"/>
        <v>40912.60047138761</v>
      </c>
      <c r="N44" s="15">
        <v>2863.8820329971331</v>
      </c>
      <c r="O44" s="15">
        <v>2863.8820329971331</v>
      </c>
      <c r="P44" s="15">
        <v>3273.0080377110089</v>
      </c>
      <c r="Q44" s="15">
        <v>3273.0080377110089</v>
      </c>
      <c r="R44" s="15">
        <v>3682.1340424248847</v>
      </c>
      <c r="S44" s="15">
        <v>4091.2600471387614</v>
      </c>
      <c r="T44" s="15">
        <v>3273.0080377110089</v>
      </c>
      <c r="U44" s="15">
        <v>3682.1340424248847</v>
      </c>
      <c r="V44" s="15">
        <v>4091.2600471387614</v>
      </c>
      <c r="W44" s="15">
        <v>3068.4450353540706</v>
      </c>
      <c r="X44" s="15">
        <v>3068.4450353540706</v>
      </c>
      <c r="Y44" s="15">
        <v>3682.1340424248847</v>
      </c>
    </row>
    <row r="45" spans="1:25" x14ac:dyDescent="0.2">
      <c r="A45" s="10" t="str">
        <f t="shared" si="0"/>
        <v>FRANQUIA</v>
      </c>
      <c r="B45" s="13" t="s">
        <v>25</v>
      </c>
      <c r="C45" s="12" t="str">
        <f>IFERROR(VLOOKUP(B45,[1]aux!$G$1:$H$55,2,FALSE),"")</f>
        <v>TSE104</v>
      </c>
      <c r="D45" s="13" t="s">
        <v>43</v>
      </c>
      <c r="E45" s="13" t="s">
        <v>44</v>
      </c>
      <c r="F45" s="11" t="s">
        <v>45</v>
      </c>
      <c r="G45" s="13" t="s">
        <v>26</v>
      </c>
      <c r="H45" s="13" t="s">
        <v>27</v>
      </c>
      <c r="I45" s="11" t="s">
        <v>39</v>
      </c>
      <c r="J45" s="12" t="str">
        <f>IFERROR(VLOOKUP(I45,[1]aux!$A$1:$B$5,2,FALSE),"")</f>
        <v>0303</v>
      </c>
      <c r="K45" s="11" t="s">
        <v>31</v>
      </c>
      <c r="L45" s="12" t="str">
        <f>IFERROR(VLOOKUP(K45,[1]aux!$D$1:$E$12,2,FALSE),"")</f>
        <v>000005</v>
      </c>
      <c r="M45" s="14">
        <f t="shared" si="1"/>
        <v>1021.9998821357988</v>
      </c>
      <c r="N45" s="15">
        <v>71.539991749505916</v>
      </c>
      <c r="O45" s="15">
        <v>71.539991749505916</v>
      </c>
      <c r="P45" s="15">
        <v>81.759990570863906</v>
      </c>
      <c r="Q45" s="15">
        <v>81.759990570863906</v>
      </c>
      <c r="R45" s="15">
        <v>91.979989392221881</v>
      </c>
      <c r="S45" s="15">
        <v>102.19998821357989</v>
      </c>
      <c r="T45" s="15">
        <v>81.759990570863906</v>
      </c>
      <c r="U45" s="15">
        <v>91.979989392221881</v>
      </c>
      <c r="V45" s="15">
        <v>102.19998821357989</v>
      </c>
      <c r="W45" s="15">
        <v>76.649991160184911</v>
      </c>
      <c r="X45" s="15">
        <v>76.649991160184911</v>
      </c>
      <c r="Y45" s="15">
        <v>91.979989392221881</v>
      </c>
    </row>
    <row r="46" spans="1:25" x14ac:dyDescent="0.2">
      <c r="A46" s="10" t="str">
        <f t="shared" si="0"/>
        <v>FRANQUIA</v>
      </c>
      <c r="B46" s="13" t="s">
        <v>25</v>
      </c>
      <c r="C46" s="12" t="str">
        <f>IFERROR(VLOOKUP(B46,[1]aux!$G$1:$H$55,2,FALSE),"")</f>
        <v>TSE104</v>
      </c>
      <c r="D46" s="13" t="s">
        <v>43</v>
      </c>
      <c r="E46" s="13" t="s">
        <v>44</v>
      </c>
      <c r="F46" s="11" t="s">
        <v>45</v>
      </c>
      <c r="G46" s="13" t="s">
        <v>26</v>
      </c>
      <c r="H46" s="13" t="s">
        <v>27</v>
      </c>
      <c r="I46" s="11" t="s">
        <v>39</v>
      </c>
      <c r="J46" s="12" t="str">
        <f>IFERROR(VLOOKUP(I46,[1]aux!$A$1:$B$5,2,FALSE),"")</f>
        <v>0303</v>
      </c>
      <c r="K46" s="11" t="s">
        <v>32</v>
      </c>
      <c r="L46" s="12" t="str">
        <f>IFERROR(VLOOKUP(K46,[1]aux!$D$1:$E$12,2,FALSE),"")</f>
        <v>000013</v>
      </c>
      <c r="M46" s="14">
        <f t="shared" si="1"/>
        <v>4087.3995286123914</v>
      </c>
      <c r="N46" s="15">
        <v>286.11796700286737</v>
      </c>
      <c r="O46" s="15">
        <v>286.11796700286737</v>
      </c>
      <c r="P46" s="15">
        <v>326.99196228899126</v>
      </c>
      <c r="Q46" s="15">
        <v>326.99196228899126</v>
      </c>
      <c r="R46" s="15">
        <v>367.86595757511515</v>
      </c>
      <c r="S46" s="15">
        <v>408.73995286123909</v>
      </c>
      <c r="T46" s="15">
        <v>326.99196228899126</v>
      </c>
      <c r="U46" s="15">
        <v>367.86595757511515</v>
      </c>
      <c r="V46" s="15">
        <v>408.73995286123909</v>
      </c>
      <c r="W46" s="15">
        <v>306.55496464592932</v>
      </c>
      <c r="X46" s="15">
        <v>306.55496464592932</v>
      </c>
      <c r="Y46" s="15">
        <v>367.86595757511515</v>
      </c>
    </row>
    <row r="47" spans="1:25" x14ac:dyDescent="0.2">
      <c r="A47" s="10" t="str">
        <f t="shared" si="0"/>
        <v>FRANQUIA</v>
      </c>
      <c r="B47" s="13" t="s">
        <v>25</v>
      </c>
      <c r="C47" s="12" t="str">
        <f>IFERROR(VLOOKUP(B47,[1]aux!$G$1:$H$55,2,FALSE),"")</f>
        <v>TSE104</v>
      </c>
      <c r="D47" s="13" t="s">
        <v>43</v>
      </c>
      <c r="E47" s="13" t="s">
        <v>44</v>
      </c>
      <c r="F47" s="11" t="s">
        <v>45</v>
      </c>
      <c r="G47" s="13" t="s">
        <v>26</v>
      </c>
      <c r="H47" s="13" t="s">
        <v>27</v>
      </c>
      <c r="I47" s="11" t="s">
        <v>39</v>
      </c>
      <c r="J47" s="12" t="str">
        <f>IFERROR(VLOOKUP(I47,[1]aux!$A$1:$B$5,2,FALSE),"")</f>
        <v>0303</v>
      </c>
      <c r="K47" s="11" t="s">
        <v>33</v>
      </c>
      <c r="L47" s="12" t="str">
        <f>IFERROR(VLOOKUP(K47,[1]aux!$D$1:$E$12,2,FALSE),"")</f>
        <v>000003</v>
      </c>
      <c r="M47" s="14">
        <f t="shared" si="1"/>
        <v>1021.9998821357988</v>
      </c>
      <c r="N47" s="15">
        <v>71.539991749505916</v>
      </c>
      <c r="O47" s="15">
        <v>71.539991749505916</v>
      </c>
      <c r="P47" s="15">
        <v>81.759990570863906</v>
      </c>
      <c r="Q47" s="15">
        <v>81.759990570863906</v>
      </c>
      <c r="R47" s="15">
        <v>91.979989392221881</v>
      </c>
      <c r="S47" s="15">
        <v>102.19998821357989</v>
      </c>
      <c r="T47" s="15">
        <v>81.759990570863906</v>
      </c>
      <c r="U47" s="15">
        <v>91.979989392221881</v>
      </c>
      <c r="V47" s="15">
        <v>102.19998821357989</v>
      </c>
      <c r="W47" s="15">
        <v>76.649991160184911</v>
      </c>
      <c r="X47" s="15">
        <v>76.649991160184911</v>
      </c>
      <c r="Y47" s="15">
        <v>91.979989392221881</v>
      </c>
    </row>
    <row r="48" spans="1:25" x14ac:dyDescent="0.2">
      <c r="A48" s="10" t="str">
        <f t="shared" si="0"/>
        <v>FRANQUIA</v>
      </c>
      <c r="B48" s="13" t="s">
        <v>25</v>
      </c>
      <c r="C48" s="12" t="str">
        <f>IFERROR(VLOOKUP(B48,[1]aux!$G$1:$H$55,2,FALSE),"")</f>
        <v>TSE104</v>
      </c>
      <c r="D48" s="13" t="s">
        <v>43</v>
      </c>
      <c r="E48" s="13" t="s">
        <v>44</v>
      </c>
      <c r="F48" s="11" t="s">
        <v>45</v>
      </c>
      <c r="G48" s="13" t="s">
        <v>26</v>
      </c>
      <c r="H48" s="13" t="s">
        <v>27</v>
      </c>
      <c r="I48" s="11" t="s">
        <v>39</v>
      </c>
      <c r="J48" s="12" t="str">
        <f>IFERROR(VLOOKUP(I48,[1]aux!$A$1:$B$5,2,FALSE),"")</f>
        <v>0303</v>
      </c>
      <c r="K48" s="11" t="s">
        <v>34</v>
      </c>
      <c r="L48" s="12" t="str">
        <f>IFERROR(VLOOKUP(K48,[1]aux!$D$1:$E$12,2,FALSE),"")</f>
        <v>000014</v>
      </c>
      <c r="M48" s="14">
        <f t="shared" si="1"/>
        <v>1021.9998821357988</v>
      </c>
      <c r="N48" s="15">
        <v>71.539991749505916</v>
      </c>
      <c r="O48" s="15">
        <v>71.539991749505916</v>
      </c>
      <c r="P48" s="15">
        <v>81.759990570863906</v>
      </c>
      <c r="Q48" s="15">
        <v>81.759990570863906</v>
      </c>
      <c r="R48" s="15">
        <v>91.979989392221881</v>
      </c>
      <c r="S48" s="15">
        <v>102.19998821357989</v>
      </c>
      <c r="T48" s="15">
        <v>81.759990570863906</v>
      </c>
      <c r="U48" s="15">
        <v>91.979989392221881</v>
      </c>
      <c r="V48" s="15">
        <v>102.19998821357989</v>
      </c>
      <c r="W48" s="15">
        <v>76.649991160184911</v>
      </c>
      <c r="X48" s="15">
        <v>76.649991160184911</v>
      </c>
      <c r="Y48" s="15">
        <v>91.979989392221881</v>
      </c>
    </row>
    <row r="49" spans="1:25" x14ac:dyDescent="0.2">
      <c r="A49" s="10" t="str">
        <f t="shared" si="0"/>
        <v>FRANQUIA</v>
      </c>
      <c r="B49" s="13" t="s">
        <v>25</v>
      </c>
      <c r="C49" s="12" t="str">
        <f>IFERROR(VLOOKUP(B49,[1]aux!$G$1:$H$55,2,FALSE),"")</f>
        <v>TSE104</v>
      </c>
      <c r="D49" s="13" t="s">
        <v>43</v>
      </c>
      <c r="E49" s="13" t="s">
        <v>44</v>
      </c>
      <c r="F49" s="11" t="s">
        <v>45</v>
      </c>
      <c r="G49" s="13" t="s">
        <v>26</v>
      </c>
      <c r="H49" s="13" t="s">
        <v>27</v>
      </c>
      <c r="I49" s="11" t="s">
        <v>39</v>
      </c>
      <c r="J49" s="12" t="str">
        <f>IFERROR(VLOOKUP(I49,[1]aux!$A$1:$B$5,2,FALSE),"")</f>
        <v>0303</v>
      </c>
      <c r="K49" s="11" t="s">
        <v>35</v>
      </c>
      <c r="L49" s="12" t="str">
        <f>IFERROR(VLOOKUP(K49,[1]aux!$D$1:$E$12,2,FALSE),"")</f>
        <v>000001</v>
      </c>
      <c r="M49" s="14">
        <f t="shared" si="1"/>
        <v>10201.619057245543</v>
      </c>
      <c r="N49" s="15">
        <v>714.11333400718797</v>
      </c>
      <c r="O49" s="15">
        <v>714.11333400718797</v>
      </c>
      <c r="P49" s="15">
        <v>816.12952457964332</v>
      </c>
      <c r="Q49" s="15">
        <v>816.12952457964332</v>
      </c>
      <c r="R49" s="15">
        <v>918.14571515209866</v>
      </c>
      <c r="S49" s="15">
        <v>1020.1619057245542</v>
      </c>
      <c r="T49" s="15">
        <v>816.12952457964332</v>
      </c>
      <c r="U49" s="15">
        <v>918.14571515209866</v>
      </c>
      <c r="V49" s="15">
        <v>1020.1619057245542</v>
      </c>
      <c r="W49" s="15">
        <v>765.12142929341564</v>
      </c>
      <c r="X49" s="15">
        <v>765.12142929341564</v>
      </c>
      <c r="Y49" s="15">
        <v>918.14571515209866</v>
      </c>
    </row>
    <row r="50" spans="1:25" x14ac:dyDescent="0.2">
      <c r="A50" s="10" t="str">
        <f t="shared" si="0"/>
        <v>FRANQUIA</v>
      </c>
      <c r="B50" s="13" t="s">
        <v>25</v>
      </c>
      <c r="C50" s="12" t="str">
        <f>IFERROR(VLOOKUP(B50,[1]aux!$G$1:$H$55,2,FALSE),"")</f>
        <v>TSE104</v>
      </c>
      <c r="D50" s="13" t="s">
        <v>43</v>
      </c>
      <c r="E50" s="13" t="s">
        <v>44</v>
      </c>
      <c r="F50" s="11" t="s">
        <v>45</v>
      </c>
      <c r="G50" s="13" t="s">
        <v>26</v>
      </c>
      <c r="H50" s="13" t="s">
        <v>27</v>
      </c>
      <c r="I50" s="11" t="s">
        <v>39</v>
      </c>
      <c r="J50" s="12" t="str">
        <f>IFERROR(VLOOKUP(I50,[1]aux!$A$1:$B$5,2,FALSE),"")</f>
        <v>0303</v>
      </c>
      <c r="K50" s="11" t="s">
        <v>36</v>
      </c>
      <c r="L50" s="12" t="str">
        <f>IFERROR(VLOOKUP(K50,[1]aux!$D$1:$E$12,2,FALSE),"")</f>
        <v>000010</v>
      </c>
      <c r="M50" s="14">
        <f t="shared" si="1"/>
        <v>1021.9998821357988</v>
      </c>
      <c r="N50" s="15">
        <v>71.539991749505916</v>
      </c>
      <c r="O50" s="15">
        <v>71.539991749505916</v>
      </c>
      <c r="P50" s="15">
        <v>81.759990570863906</v>
      </c>
      <c r="Q50" s="15">
        <v>81.759990570863906</v>
      </c>
      <c r="R50" s="15">
        <v>91.979989392221881</v>
      </c>
      <c r="S50" s="15">
        <v>102.19998821357989</v>
      </c>
      <c r="T50" s="15">
        <v>81.759990570863906</v>
      </c>
      <c r="U50" s="15">
        <v>91.979989392221881</v>
      </c>
      <c r="V50" s="15">
        <v>102.19998821357989</v>
      </c>
      <c r="W50" s="15">
        <v>76.649991160184911</v>
      </c>
      <c r="X50" s="15">
        <v>76.649991160184911</v>
      </c>
      <c r="Y50" s="15">
        <v>91.979989392221881</v>
      </c>
    </row>
    <row r="51" spans="1:25" x14ac:dyDescent="0.2">
      <c r="A51" s="10" t="str">
        <f t="shared" si="0"/>
        <v>FRANQUIA</v>
      </c>
      <c r="B51" s="13" t="s">
        <v>25</v>
      </c>
      <c r="C51" s="12" t="str">
        <f>IFERROR(VLOOKUP(B51,[1]aux!$G$1:$H$55,2,FALSE),"")</f>
        <v>TSE104</v>
      </c>
      <c r="D51" s="13" t="s">
        <v>43</v>
      </c>
      <c r="E51" s="13" t="s">
        <v>44</v>
      </c>
      <c r="F51" s="11" t="s">
        <v>45</v>
      </c>
      <c r="G51" s="13" t="s">
        <v>26</v>
      </c>
      <c r="H51" s="13" t="s">
        <v>27</v>
      </c>
      <c r="I51" s="11" t="s">
        <v>39</v>
      </c>
      <c r="J51" s="12" t="str">
        <f>IFERROR(VLOOKUP(I51,[1]aux!$A$1:$B$5,2,FALSE),"")</f>
        <v>0303</v>
      </c>
      <c r="K51" s="11" t="s">
        <v>37</v>
      </c>
      <c r="L51" s="12" t="str">
        <f>IFERROR(VLOOKUP(K51,[1]aux!$D$1:$E$12,2,FALSE),"")</f>
        <v>000009</v>
      </c>
      <c r="M51" s="14">
        <f t="shared" si="1"/>
        <v>4087.3995286123914</v>
      </c>
      <c r="N51" s="15">
        <v>286.11796700286737</v>
      </c>
      <c r="O51" s="15">
        <v>286.11796700286737</v>
      </c>
      <c r="P51" s="15">
        <v>326.99196228899126</v>
      </c>
      <c r="Q51" s="15">
        <v>326.99196228899126</v>
      </c>
      <c r="R51" s="15">
        <v>367.86595757511515</v>
      </c>
      <c r="S51" s="15">
        <v>408.73995286123909</v>
      </c>
      <c r="T51" s="15">
        <v>326.99196228899126</v>
      </c>
      <c r="U51" s="15">
        <v>367.86595757511515</v>
      </c>
      <c r="V51" s="15">
        <v>408.73995286123909</v>
      </c>
      <c r="W51" s="15">
        <v>306.55496464592932</v>
      </c>
      <c r="X51" s="15">
        <v>306.55496464592932</v>
      </c>
      <c r="Y51" s="15">
        <v>367.86595757511515</v>
      </c>
    </row>
    <row r="52" spans="1:25" x14ac:dyDescent="0.2">
      <c r="A52" s="10" t="str">
        <f t="shared" si="0"/>
        <v>FRANQUIA</v>
      </c>
      <c r="B52" s="13" t="s">
        <v>25</v>
      </c>
      <c r="C52" s="12" t="str">
        <f>IFERROR(VLOOKUP(B52,[1]aux!$G$1:$H$55,2,FALSE),"")</f>
        <v>TSE104</v>
      </c>
      <c r="D52" s="13" t="s">
        <v>43</v>
      </c>
      <c r="E52" s="13" t="s">
        <v>44</v>
      </c>
      <c r="F52" s="11" t="s">
        <v>45</v>
      </c>
      <c r="G52" s="13" t="s">
        <v>26</v>
      </c>
      <c r="H52" s="13" t="s">
        <v>27</v>
      </c>
      <c r="I52" s="13" t="s">
        <v>38</v>
      </c>
      <c r="J52" s="12" t="str">
        <f>IFERROR(VLOOKUP(I52,[1]aux!$A$1:$B$5,2,FALSE),"")</f>
        <v>0258</v>
      </c>
      <c r="K52" s="11" t="s">
        <v>35</v>
      </c>
      <c r="L52" s="12" t="str">
        <f>IFERROR(VLOOKUP(K52,[1]aux!$D$1:$E$12,2,FALSE),"")</f>
        <v>000001</v>
      </c>
      <c r="M52" s="14">
        <f t="shared" si="1"/>
        <v>2305.6289839559963</v>
      </c>
      <c r="N52" s="16">
        <v>161.39402887691975</v>
      </c>
      <c r="O52" s="16">
        <v>161.39402887691975</v>
      </c>
      <c r="P52" s="16">
        <v>184.4503187164797</v>
      </c>
      <c r="Q52" s="16">
        <v>184.4503187164797</v>
      </c>
      <c r="R52" s="16">
        <v>207.50660855603965</v>
      </c>
      <c r="S52" s="16">
        <v>230.56289839559963</v>
      </c>
      <c r="T52" s="16">
        <v>184.4503187164797</v>
      </c>
      <c r="U52" s="16">
        <v>207.50660855603965</v>
      </c>
      <c r="V52" s="16">
        <v>230.56289839559963</v>
      </c>
      <c r="W52" s="16">
        <v>172.92217379669972</v>
      </c>
      <c r="X52" s="16">
        <v>172.92217379669972</v>
      </c>
      <c r="Y52" s="16">
        <v>207.50660855603965</v>
      </c>
    </row>
    <row r="53" spans="1:25" x14ac:dyDescent="0.2">
      <c r="A53" s="10" t="str">
        <f t="shared" si="0"/>
        <v>FRANQUIA</v>
      </c>
      <c r="B53" s="13" t="s">
        <v>25</v>
      </c>
      <c r="C53" s="12" t="str">
        <f>IFERROR(VLOOKUP(B53,[1]aux!$G$1:$H$55,2,FALSE),"")</f>
        <v>TSE104</v>
      </c>
      <c r="D53" s="13" t="s">
        <v>43</v>
      </c>
      <c r="E53" s="13" t="s">
        <v>44</v>
      </c>
      <c r="F53" s="11" t="s">
        <v>45</v>
      </c>
      <c r="G53" s="13" t="s">
        <v>26</v>
      </c>
      <c r="H53" s="13" t="s">
        <v>27</v>
      </c>
      <c r="I53" s="13" t="s">
        <v>40</v>
      </c>
      <c r="J53" s="12"/>
      <c r="K53" s="11" t="s">
        <v>35</v>
      </c>
      <c r="L53" s="12"/>
      <c r="M53" s="14">
        <f t="shared" si="1"/>
        <v>3960000</v>
      </c>
      <c r="N53" s="16">
        <v>270072</v>
      </c>
      <c r="O53" s="16">
        <v>280764</v>
      </c>
      <c r="P53" s="16">
        <v>322344</v>
      </c>
      <c r="Q53" s="16">
        <v>332640</v>
      </c>
      <c r="R53" s="16">
        <v>342936</v>
      </c>
      <c r="S53" s="16">
        <v>353232</v>
      </c>
      <c r="T53" s="16">
        <v>332640</v>
      </c>
      <c r="U53" s="16">
        <v>342936</v>
      </c>
      <c r="V53" s="16">
        <v>353232</v>
      </c>
      <c r="W53" s="16">
        <v>332640</v>
      </c>
      <c r="X53" s="16">
        <v>342936</v>
      </c>
      <c r="Y53" s="16">
        <v>353628</v>
      </c>
    </row>
    <row r="54" spans="1:25" x14ac:dyDescent="0.2">
      <c r="A54" s="10" t="str">
        <f t="shared" si="0"/>
        <v>FRANQUIA</v>
      </c>
      <c r="B54" s="13" t="s">
        <v>25</v>
      </c>
      <c r="C54" s="12" t="str">
        <f>IFERROR(VLOOKUP(B54,[1]aux!$G$1:$H$55,2,FALSE),"")</f>
        <v>TSE104</v>
      </c>
      <c r="D54" s="13" t="s">
        <v>43</v>
      </c>
      <c r="E54" s="13" t="s">
        <v>44</v>
      </c>
      <c r="F54" s="11" t="s">
        <v>45</v>
      </c>
      <c r="G54" s="13" t="s">
        <v>26</v>
      </c>
      <c r="H54" s="13" t="s">
        <v>27</v>
      </c>
      <c r="I54" s="13" t="s">
        <v>41</v>
      </c>
      <c r="J54" s="12"/>
      <c r="K54" s="11" t="s">
        <v>35</v>
      </c>
      <c r="L54" s="12"/>
      <c r="M54" s="14">
        <f t="shared" si="1"/>
        <v>40000</v>
      </c>
      <c r="N54" s="16">
        <v>2800.0000000000005</v>
      </c>
      <c r="O54" s="16">
        <v>2800.0000000000005</v>
      </c>
      <c r="P54" s="16">
        <v>3200</v>
      </c>
      <c r="Q54" s="16">
        <v>3200</v>
      </c>
      <c r="R54" s="16">
        <v>3600</v>
      </c>
      <c r="S54" s="16">
        <v>4000</v>
      </c>
      <c r="T54" s="16">
        <v>3200</v>
      </c>
      <c r="U54" s="16">
        <v>3600</v>
      </c>
      <c r="V54" s="16">
        <v>4000</v>
      </c>
      <c r="W54" s="16">
        <v>3000</v>
      </c>
      <c r="X54" s="16">
        <v>3000</v>
      </c>
      <c r="Y54" s="16">
        <v>3600</v>
      </c>
    </row>
    <row r="55" spans="1:25" x14ac:dyDescent="0.2">
      <c r="A55" s="10" t="str">
        <f t="shared" si="0"/>
        <v>FRANQUIA</v>
      </c>
      <c r="B55" s="13" t="s">
        <v>25</v>
      </c>
      <c r="C55" s="12" t="str">
        <f>IFERROR(VLOOKUP(B55,[1]aux!$G$1:$H$55,2,FALSE),"")</f>
        <v>TSE104</v>
      </c>
      <c r="D55" s="13" t="s">
        <v>43</v>
      </c>
      <c r="E55" s="13" t="s">
        <v>44</v>
      </c>
      <c r="F55" s="11" t="s">
        <v>45</v>
      </c>
      <c r="G55" s="13" t="s">
        <v>26</v>
      </c>
      <c r="H55" s="13" t="s">
        <v>27</v>
      </c>
      <c r="I55" s="13" t="s">
        <v>42</v>
      </c>
      <c r="J55" s="12"/>
      <c r="K55" s="11" t="s">
        <v>35</v>
      </c>
      <c r="L55" s="12"/>
      <c r="M55" s="14">
        <f t="shared" si="1"/>
        <v>24000</v>
      </c>
      <c r="N55" s="16">
        <v>1680.0000000000002</v>
      </c>
      <c r="O55" s="16">
        <v>1680.0000000000002</v>
      </c>
      <c r="P55" s="16">
        <v>1920</v>
      </c>
      <c r="Q55" s="16">
        <v>1920</v>
      </c>
      <c r="R55" s="16">
        <v>2160</v>
      </c>
      <c r="S55" s="16">
        <v>2400</v>
      </c>
      <c r="T55" s="16">
        <v>1920</v>
      </c>
      <c r="U55" s="16">
        <v>2160</v>
      </c>
      <c r="V55" s="16">
        <v>2400</v>
      </c>
      <c r="W55" s="16">
        <v>1800</v>
      </c>
      <c r="X55" s="16">
        <v>1800</v>
      </c>
      <c r="Y55" s="16">
        <v>2160</v>
      </c>
    </row>
    <row r="56" spans="1:25" x14ac:dyDescent="0.2">
      <c r="A56" s="10" t="str">
        <f t="shared" si="0"/>
        <v>FRANQUIA</v>
      </c>
      <c r="B56" s="13" t="s">
        <v>25</v>
      </c>
      <c r="C56" s="12" t="str">
        <f>IFERROR(VLOOKUP(B56,[1]aux!$G$1:$H$55,2,FALSE),"")</f>
        <v>TSE104</v>
      </c>
      <c r="D56" s="13" t="s">
        <v>46</v>
      </c>
      <c r="E56" s="13" t="s">
        <v>47</v>
      </c>
      <c r="F56" s="13" t="s">
        <v>48</v>
      </c>
      <c r="G56" s="13" t="s">
        <v>43</v>
      </c>
      <c r="H56" s="13" t="s">
        <v>44</v>
      </c>
      <c r="I56" s="13" t="s">
        <v>38</v>
      </c>
      <c r="J56" s="12" t="str">
        <f>IFERROR(VLOOKUP(I56,[1]aux!$A$1:$B$5,2,FALSE),"")</f>
        <v>0258</v>
      </c>
      <c r="K56" s="13" t="s">
        <v>37</v>
      </c>
      <c r="L56" s="12" t="str">
        <f>IFERROR(VLOOKUP(K56,[1]aux!$D$1:$E$12,2,FALSE),"")</f>
        <v>000009</v>
      </c>
      <c r="M56" s="14">
        <f t="shared" si="1"/>
        <v>10000</v>
      </c>
      <c r="N56" s="16">
        <v>700.00000000000011</v>
      </c>
      <c r="O56" s="16">
        <v>700.00000000000011</v>
      </c>
      <c r="P56" s="16">
        <v>800</v>
      </c>
      <c r="Q56" s="16">
        <v>800</v>
      </c>
      <c r="R56" s="16">
        <v>900</v>
      </c>
      <c r="S56" s="16">
        <v>1000</v>
      </c>
      <c r="T56" s="16">
        <v>800</v>
      </c>
      <c r="U56" s="16">
        <v>900</v>
      </c>
      <c r="V56" s="16">
        <v>1000</v>
      </c>
      <c r="W56" s="16">
        <v>750</v>
      </c>
      <c r="X56" s="16">
        <v>750</v>
      </c>
      <c r="Y56" s="16">
        <v>900</v>
      </c>
    </row>
    <row r="57" spans="1:25" x14ac:dyDescent="0.2">
      <c r="A57" s="10" t="str">
        <f t="shared" si="0"/>
        <v>FRANQUIA</v>
      </c>
      <c r="B57" s="13" t="s">
        <v>25</v>
      </c>
      <c r="C57" s="12" t="str">
        <f>IFERROR(VLOOKUP(B57,[1]aux!$G$1:$H$55,2,FALSE),"")</f>
        <v>TSE104</v>
      </c>
      <c r="D57" s="13" t="s">
        <v>46</v>
      </c>
      <c r="E57" s="13" t="s">
        <v>47</v>
      </c>
      <c r="F57" s="13" t="s">
        <v>48</v>
      </c>
      <c r="G57" s="13" t="s">
        <v>43</v>
      </c>
      <c r="H57" s="13" t="s">
        <v>44</v>
      </c>
      <c r="I57" s="13" t="s">
        <v>38</v>
      </c>
      <c r="J57" s="12" t="str">
        <f>IFERROR(VLOOKUP(I57,[1]aux!$A$1:$B$5,2,FALSE),"")</f>
        <v>0258</v>
      </c>
      <c r="K57" s="13" t="s">
        <v>32</v>
      </c>
      <c r="L57" s="12" t="str">
        <f>IFERROR(VLOOKUP(K57,[1]aux!$D$1:$E$12,2,FALSE),"")</f>
        <v>000013</v>
      </c>
      <c r="M57" s="14">
        <f t="shared" si="1"/>
        <v>10000</v>
      </c>
      <c r="N57" s="16">
        <v>700.00000000000011</v>
      </c>
      <c r="O57" s="16">
        <v>700.00000000000011</v>
      </c>
      <c r="P57" s="16">
        <v>800</v>
      </c>
      <c r="Q57" s="16">
        <v>800</v>
      </c>
      <c r="R57" s="16">
        <v>900</v>
      </c>
      <c r="S57" s="16">
        <v>1000</v>
      </c>
      <c r="T57" s="16">
        <v>800</v>
      </c>
      <c r="U57" s="16">
        <v>900</v>
      </c>
      <c r="V57" s="16">
        <v>1000</v>
      </c>
      <c r="W57" s="16">
        <v>750</v>
      </c>
      <c r="X57" s="16">
        <v>750</v>
      </c>
      <c r="Y57" s="16">
        <v>900</v>
      </c>
    </row>
    <row r="58" spans="1:25" x14ac:dyDescent="0.2">
      <c r="A58" s="10" t="str">
        <f t="shared" si="0"/>
        <v>FRANQUIA</v>
      </c>
      <c r="B58" s="13" t="s">
        <v>25</v>
      </c>
      <c r="C58" s="12" t="str">
        <f>IFERROR(VLOOKUP(B58,[1]aux!$G$1:$H$55,2,FALSE),"")</f>
        <v>TSE104</v>
      </c>
      <c r="D58" s="13" t="s">
        <v>46</v>
      </c>
      <c r="E58" s="13" t="s">
        <v>47</v>
      </c>
      <c r="F58" s="13" t="s">
        <v>48</v>
      </c>
      <c r="G58" s="13" t="s">
        <v>43</v>
      </c>
      <c r="H58" s="13" t="s">
        <v>44</v>
      </c>
      <c r="I58" s="13" t="s">
        <v>38</v>
      </c>
      <c r="J58" s="12" t="str">
        <f>IFERROR(VLOOKUP(I58,[1]aux!$A$1:$B$5,2,FALSE),"")</f>
        <v>0258</v>
      </c>
      <c r="K58" s="13" t="s">
        <v>35</v>
      </c>
      <c r="L58" s="12" t="str">
        <f>IFERROR(VLOOKUP(K58,[1]aux!$D$1:$E$12,2,FALSE),"")</f>
        <v>000001</v>
      </c>
      <c r="M58" s="14">
        <f t="shared" si="1"/>
        <v>20000</v>
      </c>
      <c r="N58" s="16">
        <v>1400.0000000000002</v>
      </c>
      <c r="O58" s="16">
        <v>1400.0000000000002</v>
      </c>
      <c r="P58" s="16">
        <v>1600</v>
      </c>
      <c r="Q58" s="16">
        <v>1600</v>
      </c>
      <c r="R58" s="16">
        <v>1800</v>
      </c>
      <c r="S58" s="16">
        <v>2000</v>
      </c>
      <c r="T58" s="16">
        <v>1600</v>
      </c>
      <c r="U58" s="16">
        <v>1800</v>
      </c>
      <c r="V58" s="16">
        <v>2000</v>
      </c>
      <c r="W58" s="16">
        <v>1500</v>
      </c>
      <c r="X58" s="16">
        <v>1500</v>
      </c>
      <c r="Y58" s="16">
        <v>1800</v>
      </c>
    </row>
    <row r="59" spans="1:25" x14ac:dyDescent="0.2">
      <c r="A59" s="10" t="str">
        <f t="shared" si="0"/>
        <v>FRANQUIA</v>
      </c>
      <c r="B59" s="13" t="s">
        <v>25</v>
      </c>
      <c r="C59" s="12" t="str">
        <f>IFERROR(VLOOKUP(B59,[1]aux!$G$1:$H$55,2,FALSE),"")</f>
        <v>TSE104</v>
      </c>
      <c r="D59" s="13" t="s">
        <v>46</v>
      </c>
      <c r="E59" s="13" t="s">
        <v>47</v>
      </c>
      <c r="F59" s="13" t="s">
        <v>48</v>
      </c>
      <c r="G59" s="13" t="s">
        <v>43</v>
      </c>
      <c r="H59" s="13" t="s">
        <v>44</v>
      </c>
      <c r="I59" s="13" t="s">
        <v>38</v>
      </c>
      <c r="J59" s="12" t="str">
        <f>IFERROR(VLOOKUP(I59,[1]aux!$A$1:$B$5,2,FALSE),"")</f>
        <v>0258</v>
      </c>
      <c r="K59" s="13" t="s">
        <v>36</v>
      </c>
      <c r="L59" s="12" t="str">
        <f>IFERROR(VLOOKUP(K59,[1]aux!$D$1:$E$12,2,FALSE),"")</f>
        <v>000010</v>
      </c>
      <c r="M59" s="14">
        <f t="shared" si="1"/>
        <v>10000</v>
      </c>
      <c r="N59" s="16">
        <v>700.00000000000011</v>
      </c>
      <c r="O59" s="16">
        <v>700.00000000000011</v>
      </c>
      <c r="P59" s="16">
        <v>800</v>
      </c>
      <c r="Q59" s="16">
        <v>800</v>
      </c>
      <c r="R59" s="16">
        <v>900</v>
      </c>
      <c r="S59" s="16">
        <v>1000</v>
      </c>
      <c r="T59" s="16">
        <v>800</v>
      </c>
      <c r="U59" s="16">
        <v>900</v>
      </c>
      <c r="V59" s="16">
        <v>1000</v>
      </c>
      <c r="W59" s="16">
        <v>750</v>
      </c>
      <c r="X59" s="16">
        <v>750</v>
      </c>
      <c r="Y59" s="16">
        <v>900</v>
      </c>
    </row>
    <row r="60" spans="1:25" x14ac:dyDescent="0.2">
      <c r="A60" s="10" t="str">
        <f t="shared" si="0"/>
        <v>FRANQUIA</v>
      </c>
      <c r="B60" s="13" t="s">
        <v>25</v>
      </c>
      <c r="C60" s="12" t="str">
        <f>IFERROR(VLOOKUP(B60,[1]aux!$G$1:$H$55,2,FALSE),"")</f>
        <v>TSE104</v>
      </c>
      <c r="D60" s="13" t="s">
        <v>46</v>
      </c>
      <c r="E60" s="13" t="s">
        <v>47</v>
      </c>
      <c r="F60" s="13" t="s">
        <v>48</v>
      </c>
      <c r="G60" s="13" t="s">
        <v>43</v>
      </c>
      <c r="H60" s="13" t="s">
        <v>44</v>
      </c>
      <c r="I60" s="13" t="s">
        <v>38</v>
      </c>
      <c r="J60" s="12" t="str">
        <f>IFERROR(VLOOKUP(I60,[1]aux!$A$1:$B$5,2,FALSE),"")</f>
        <v>0258</v>
      </c>
      <c r="K60" s="13" t="s">
        <v>31</v>
      </c>
      <c r="L60" s="12" t="str">
        <f>IFERROR(VLOOKUP(K60,[1]aux!$D$1:$E$12,2,FALSE),"")</f>
        <v>000005</v>
      </c>
      <c r="M60" s="14">
        <f t="shared" si="1"/>
        <v>10000</v>
      </c>
      <c r="N60" s="16">
        <v>700.00000000000011</v>
      </c>
      <c r="O60" s="16">
        <v>700.00000000000011</v>
      </c>
      <c r="P60" s="16">
        <v>800</v>
      </c>
      <c r="Q60" s="16">
        <v>800</v>
      </c>
      <c r="R60" s="16">
        <v>900</v>
      </c>
      <c r="S60" s="16">
        <v>1000</v>
      </c>
      <c r="T60" s="16">
        <v>800</v>
      </c>
      <c r="U60" s="16">
        <v>900</v>
      </c>
      <c r="V60" s="16">
        <v>1000</v>
      </c>
      <c r="W60" s="16">
        <v>750</v>
      </c>
      <c r="X60" s="16">
        <v>750</v>
      </c>
      <c r="Y60" s="16">
        <v>900</v>
      </c>
    </row>
    <row r="61" spans="1:25" x14ac:dyDescent="0.2">
      <c r="A61" s="10" t="str">
        <f t="shared" si="0"/>
        <v>FRANQUIA</v>
      </c>
      <c r="B61" s="13" t="s">
        <v>25</v>
      </c>
      <c r="C61" s="12" t="str">
        <f>IFERROR(VLOOKUP(B61,[1]aux!$G$1:$H$55,2,FALSE),"")</f>
        <v>TSE104</v>
      </c>
      <c r="D61" s="13" t="s">
        <v>46</v>
      </c>
      <c r="E61" s="13" t="s">
        <v>47</v>
      </c>
      <c r="F61" s="13" t="s">
        <v>48</v>
      </c>
      <c r="G61" s="13" t="s">
        <v>43</v>
      </c>
      <c r="H61" s="13" t="s">
        <v>44</v>
      </c>
      <c r="I61" s="13" t="s">
        <v>38</v>
      </c>
      <c r="J61" s="12" t="str">
        <f>IFERROR(VLOOKUP(I61,[1]aux!$A$1:$B$5,2,FALSE),"")</f>
        <v>0258</v>
      </c>
      <c r="K61" s="13" t="s">
        <v>33</v>
      </c>
      <c r="L61" s="12" t="str">
        <f>IFERROR(VLOOKUP(K61,[1]aux!$D$1:$E$12,2,FALSE),"")</f>
        <v>000003</v>
      </c>
      <c r="M61" s="14">
        <f t="shared" si="1"/>
        <v>10000</v>
      </c>
      <c r="N61" s="16">
        <v>700.00000000000011</v>
      </c>
      <c r="O61" s="16">
        <v>700.00000000000011</v>
      </c>
      <c r="P61" s="16">
        <v>800</v>
      </c>
      <c r="Q61" s="16">
        <v>800</v>
      </c>
      <c r="R61" s="16">
        <v>900</v>
      </c>
      <c r="S61" s="16">
        <v>1000</v>
      </c>
      <c r="T61" s="16">
        <v>800</v>
      </c>
      <c r="U61" s="16">
        <v>900</v>
      </c>
      <c r="V61" s="16">
        <v>1000</v>
      </c>
      <c r="W61" s="16">
        <v>750</v>
      </c>
      <c r="X61" s="16">
        <v>750</v>
      </c>
      <c r="Y61" s="16">
        <v>900</v>
      </c>
    </row>
    <row r="62" spans="1:25" x14ac:dyDescent="0.2">
      <c r="A62" s="10" t="str">
        <f t="shared" si="0"/>
        <v>FRANQUIA</v>
      </c>
      <c r="B62" s="13" t="s">
        <v>25</v>
      </c>
      <c r="C62" s="12" t="str">
        <f>IFERROR(VLOOKUP(B62,[1]aux!$G$1:$H$55,2,FALSE),"")</f>
        <v>TSE104</v>
      </c>
      <c r="D62" s="13" t="s">
        <v>46</v>
      </c>
      <c r="E62" s="13" t="s">
        <v>47</v>
      </c>
      <c r="F62" s="13" t="s">
        <v>48</v>
      </c>
      <c r="G62" s="13" t="s">
        <v>43</v>
      </c>
      <c r="H62" s="13" t="s">
        <v>44</v>
      </c>
      <c r="I62" s="13" t="s">
        <v>41</v>
      </c>
      <c r="J62" s="12" t="str">
        <f>IFERROR(VLOOKUP(I62,[1]aux!$A$1:$B$5,2,FALSE),"")</f>
        <v/>
      </c>
      <c r="K62" s="11" t="s">
        <v>35</v>
      </c>
      <c r="L62" s="12" t="str">
        <f>IFERROR(VLOOKUP(K62,[1]aux!$D$1:$E$12,2,FALSE),"")</f>
        <v>000001</v>
      </c>
      <c r="M62" s="14">
        <f t="shared" si="1"/>
        <v>20000</v>
      </c>
      <c r="N62" s="16">
        <v>1364</v>
      </c>
      <c r="O62" s="16">
        <v>1418</v>
      </c>
      <c r="P62" s="16">
        <v>1628</v>
      </c>
      <c r="Q62" s="16">
        <v>1680</v>
      </c>
      <c r="R62" s="16">
        <v>1732</v>
      </c>
      <c r="S62" s="16">
        <v>1784</v>
      </c>
      <c r="T62" s="16">
        <v>1680</v>
      </c>
      <c r="U62" s="16">
        <v>1732</v>
      </c>
      <c r="V62" s="16">
        <v>1784</v>
      </c>
      <c r="W62" s="16">
        <v>1680</v>
      </c>
      <c r="X62" s="16">
        <v>1732</v>
      </c>
      <c r="Y62" s="16">
        <v>1786</v>
      </c>
    </row>
    <row r="63" spans="1:25" x14ac:dyDescent="0.2">
      <c r="A63" s="10" t="str">
        <f t="shared" si="0"/>
        <v>FRANQUIA</v>
      </c>
      <c r="B63" s="13" t="s">
        <v>25</v>
      </c>
      <c r="C63" s="12" t="str">
        <f>IFERROR(VLOOKUP(B63,[1]aux!$G$1:$H$55,2,FALSE),"")</f>
        <v>TSE104</v>
      </c>
      <c r="D63" s="13" t="s">
        <v>46</v>
      </c>
      <c r="E63" s="13" t="s">
        <v>47</v>
      </c>
      <c r="F63" s="13" t="s">
        <v>48</v>
      </c>
      <c r="G63" s="13" t="s">
        <v>43</v>
      </c>
      <c r="H63" s="13" t="s">
        <v>44</v>
      </c>
      <c r="I63" s="13" t="s">
        <v>42</v>
      </c>
      <c r="J63" s="12" t="str">
        <f>IFERROR(VLOOKUP(I63,[1]aux!$A$1:$B$5,2,FALSE),"")</f>
        <v/>
      </c>
      <c r="K63" s="11" t="s">
        <v>35</v>
      </c>
      <c r="L63" s="12" t="str">
        <f>IFERROR(VLOOKUP(K63,[1]aux!$D$1:$E$12,2,FALSE),"")</f>
        <v>000001</v>
      </c>
      <c r="M63" s="14">
        <f t="shared" si="1"/>
        <v>10000</v>
      </c>
      <c r="N63" s="16">
        <v>682</v>
      </c>
      <c r="O63" s="16">
        <v>709</v>
      </c>
      <c r="P63" s="16">
        <v>814</v>
      </c>
      <c r="Q63" s="16">
        <v>840</v>
      </c>
      <c r="R63" s="16">
        <v>866</v>
      </c>
      <c r="S63" s="16">
        <v>892</v>
      </c>
      <c r="T63" s="16">
        <v>840</v>
      </c>
      <c r="U63" s="16">
        <v>866</v>
      </c>
      <c r="V63" s="16">
        <v>892</v>
      </c>
      <c r="W63" s="16">
        <v>840</v>
      </c>
      <c r="X63" s="16">
        <v>866</v>
      </c>
      <c r="Y63" s="16">
        <v>893</v>
      </c>
    </row>
    <row r="64" spans="1:25" x14ac:dyDescent="0.2">
      <c r="A64" s="10" t="str">
        <f t="shared" si="0"/>
        <v>FRANQUIA</v>
      </c>
      <c r="B64" s="13" t="s">
        <v>25</v>
      </c>
      <c r="C64" s="12" t="str">
        <f>IFERROR(VLOOKUP(B64,[1]aux!$G$1:$H$55,2,FALSE),"")</f>
        <v>TSE104</v>
      </c>
      <c r="D64" s="13" t="s">
        <v>49</v>
      </c>
      <c r="E64" s="13" t="s">
        <v>50</v>
      </c>
      <c r="F64" s="13" t="s">
        <v>48</v>
      </c>
      <c r="G64" s="13" t="s">
        <v>43</v>
      </c>
      <c r="H64" s="13" t="s">
        <v>44</v>
      </c>
      <c r="I64" s="13" t="s">
        <v>29</v>
      </c>
      <c r="J64" s="12" t="str">
        <f>IFERROR(VLOOKUP(I64,[1]aux!$A$1:$B$5,2,FALSE),"")</f>
        <v>0203</v>
      </c>
      <c r="K64" s="13" t="s">
        <v>36</v>
      </c>
      <c r="L64" s="12" t="str">
        <f>IFERROR(VLOOKUP(K64,[1]aux!$D$1:$E$12,2,FALSE),"")</f>
        <v>000010</v>
      </c>
      <c r="M64" s="14">
        <f t="shared" si="1"/>
        <v>60000</v>
      </c>
      <c r="N64" s="16">
        <v>9000</v>
      </c>
      <c r="O64" s="16">
        <v>4500</v>
      </c>
      <c r="P64" s="16">
        <v>4500</v>
      </c>
      <c r="Q64" s="16">
        <v>4500</v>
      </c>
      <c r="R64" s="16">
        <v>4500</v>
      </c>
      <c r="S64" s="16">
        <v>5400</v>
      </c>
      <c r="T64" s="16">
        <v>4500</v>
      </c>
      <c r="U64" s="16">
        <v>4500</v>
      </c>
      <c r="V64" s="16">
        <v>5400</v>
      </c>
      <c r="W64" s="16">
        <v>4200</v>
      </c>
      <c r="X64" s="16">
        <v>4200</v>
      </c>
      <c r="Y64" s="16">
        <v>4800</v>
      </c>
    </row>
    <row r="65" spans="1:25" x14ac:dyDescent="0.2">
      <c r="A65" s="10" t="str">
        <f t="shared" si="0"/>
        <v>FRANQUIA</v>
      </c>
      <c r="B65" s="13" t="s">
        <v>25</v>
      </c>
      <c r="C65" s="12" t="str">
        <f>IFERROR(VLOOKUP(B65,[1]aux!$G$1:$H$55,2,FALSE),"")</f>
        <v>TSE104</v>
      </c>
      <c r="D65" s="13" t="s">
        <v>49</v>
      </c>
      <c r="E65" s="13" t="s">
        <v>50</v>
      </c>
      <c r="F65" s="13" t="s">
        <v>48</v>
      </c>
      <c r="G65" s="13" t="s">
        <v>43</v>
      </c>
      <c r="H65" s="13" t="s">
        <v>44</v>
      </c>
      <c r="I65" s="13" t="s">
        <v>29</v>
      </c>
      <c r="J65" s="12" t="str">
        <f>IFERROR(VLOOKUP(I65,[1]aux!$A$1:$B$5,2,FALSE),"")</f>
        <v>0203</v>
      </c>
      <c r="K65" s="13" t="s">
        <v>31</v>
      </c>
      <c r="L65" s="12" t="str">
        <f>IFERROR(VLOOKUP(K65,[1]aux!$D$1:$E$12,2,FALSE),"")</f>
        <v>000005</v>
      </c>
      <c r="M65" s="14">
        <f t="shared" si="1"/>
        <v>70000</v>
      </c>
      <c r="N65" s="16">
        <v>10500</v>
      </c>
      <c r="O65" s="16">
        <v>5250</v>
      </c>
      <c r="P65" s="16">
        <v>5250</v>
      </c>
      <c r="Q65" s="16">
        <v>5250</v>
      </c>
      <c r="R65" s="16">
        <v>5250</v>
      </c>
      <c r="S65" s="16">
        <v>6300</v>
      </c>
      <c r="T65" s="16">
        <v>5250</v>
      </c>
      <c r="U65" s="16">
        <v>5250</v>
      </c>
      <c r="V65" s="16">
        <v>6300</v>
      </c>
      <c r="W65" s="16">
        <v>4900.0000000000009</v>
      </c>
      <c r="X65" s="16">
        <v>4900.0000000000009</v>
      </c>
      <c r="Y65" s="16">
        <v>5600</v>
      </c>
    </row>
    <row r="66" spans="1:25" x14ac:dyDescent="0.2">
      <c r="A66" s="10" t="str">
        <f t="shared" si="0"/>
        <v>FRANQUIA</v>
      </c>
      <c r="B66" s="13" t="s">
        <v>25</v>
      </c>
      <c r="C66" s="12" t="str">
        <f>IFERROR(VLOOKUP(B66,[1]aux!$G$1:$H$55,2,FALSE),"")</f>
        <v>TSE104</v>
      </c>
      <c r="D66" s="13" t="s">
        <v>49</v>
      </c>
      <c r="E66" s="13" t="s">
        <v>50</v>
      </c>
      <c r="F66" s="13" t="s">
        <v>48</v>
      </c>
      <c r="G66" s="13" t="s">
        <v>43</v>
      </c>
      <c r="H66" s="13" t="s">
        <v>44</v>
      </c>
      <c r="I66" s="13" t="s">
        <v>29</v>
      </c>
      <c r="J66" s="12"/>
      <c r="K66" s="13" t="s">
        <v>33</v>
      </c>
      <c r="L66" s="12" t="str">
        <f>IFERROR(VLOOKUP(K66,[1]aux!$D$1:$E$12,2,FALSE),"")</f>
        <v>000003</v>
      </c>
      <c r="M66" s="14">
        <f t="shared" si="1"/>
        <v>70000</v>
      </c>
      <c r="N66" s="16">
        <v>10500</v>
      </c>
      <c r="O66" s="16">
        <v>5250</v>
      </c>
      <c r="P66" s="16">
        <v>5250</v>
      </c>
      <c r="Q66" s="16">
        <v>5250</v>
      </c>
      <c r="R66" s="16">
        <v>5250</v>
      </c>
      <c r="S66" s="16">
        <v>6300</v>
      </c>
      <c r="T66" s="16">
        <v>5250</v>
      </c>
      <c r="U66" s="16">
        <v>5250</v>
      </c>
      <c r="V66" s="16">
        <v>6300</v>
      </c>
      <c r="W66" s="16">
        <v>4900.0000000000009</v>
      </c>
      <c r="X66" s="16">
        <v>4900.0000000000009</v>
      </c>
      <c r="Y66" s="16">
        <v>5600</v>
      </c>
    </row>
    <row r="67" spans="1:25" x14ac:dyDescent="0.2">
      <c r="A67" s="10" t="str">
        <f t="shared" ref="A67:A104" si="2">IF(B67&lt;&gt;"","FRANQUIA","")</f>
        <v>FRANQUIA</v>
      </c>
      <c r="B67" s="13" t="s">
        <v>25</v>
      </c>
      <c r="C67" s="12" t="str">
        <f>IFERROR(VLOOKUP(B67,[1]aux!$G$1:$H$55,2,FALSE),"")</f>
        <v>TSE104</v>
      </c>
      <c r="D67" s="13" t="s">
        <v>49</v>
      </c>
      <c r="E67" s="13" t="s">
        <v>50</v>
      </c>
      <c r="F67" s="13" t="s">
        <v>48</v>
      </c>
      <c r="G67" s="13" t="s">
        <v>43</v>
      </c>
      <c r="H67" s="13" t="s">
        <v>44</v>
      </c>
      <c r="I67" s="13" t="s">
        <v>38</v>
      </c>
      <c r="J67" s="12" t="str">
        <f>IFERROR(VLOOKUP(I67,[1]aux!$A$1:$B$5,2,FALSE),"")</f>
        <v>0258</v>
      </c>
      <c r="K67" s="13" t="s">
        <v>36</v>
      </c>
      <c r="L67" s="12" t="str">
        <f>IFERROR(VLOOKUP(K67,[1]aux!$D$1:$E$12,2,FALSE),"")</f>
        <v>000010</v>
      </c>
      <c r="M67" s="14">
        <f t="shared" ref="M67:M104" si="3">IF(OR($A67&lt;&gt;"",$B67&lt;&gt;""),SUM(N67:Y67),"")</f>
        <v>38637.333490485609</v>
      </c>
      <c r="N67" s="16">
        <v>2704.6133443339922</v>
      </c>
      <c r="O67" s="16">
        <v>2704.6133443339922</v>
      </c>
      <c r="P67" s="16">
        <v>3090.9866792388484</v>
      </c>
      <c r="Q67" s="16">
        <v>3090.9866792388484</v>
      </c>
      <c r="R67" s="16">
        <v>3477.3600141437041</v>
      </c>
      <c r="S67" s="16">
        <v>3863.7333490485603</v>
      </c>
      <c r="T67" s="16">
        <v>3090.9866792388484</v>
      </c>
      <c r="U67" s="16">
        <v>3477.3600141437041</v>
      </c>
      <c r="V67" s="16">
        <v>3863.7333490485603</v>
      </c>
      <c r="W67" s="16">
        <v>2897.8000117864199</v>
      </c>
      <c r="X67" s="16">
        <v>2897.8000117864199</v>
      </c>
      <c r="Y67" s="16">
        <v>3477.3600141437041</v>
      </c>
    </row>
    <row r="68" spans="1:25" x14ac:dyDescent="0.2">
      <c r="A68" s="10" t="str">
        <f t="shared" si="2"/>
        <v>FRANQUIA</v>
      </c>
      <c r="B68" s="13" t="s">
        <v>25</v>
      </c>
      <c r="C68" s="12" t="str">
        <f>IFERROR(VLOOKUP(B68,[1]aux!$G$1:$H$55,2,FALSE),"")</f>
        <v>TSE104</v>
      </c>
      <c r="D68" s="13" t="s">
        <v>49</v>
      </c>
      <c r="E68" s="13" t="s">
        <v>50</v>
      </c>
      <c r="F68" s="13" t="s">
        <v>48</v>
      </c>
      <c r="G68" s="13" t="s">
        <v>43</v>
      </c>
      <c r="H68" s="13" t="s">
        <v>44</v>
      </c>
      <c r="I68" s="13" t="s">
        <v>38</v>
      </c>
      <c r="J68" s="12" t="str">
        <f>IFERROR(VLOOKUP(I68,[1]aux!$A$1:$B$5,2,FALSE),"")</f>
        <v>0258</v>
      </c>
      <c r="K68" s="13" t="s">
        <v>31</v>
      </c>
      <c r="L68" s="12" t="str">
        <f>IFERROR(VLOOKUP(K68,[1]aux!$D$1:$E$12,2,FALSE),"")</f>
        <v>000005</v>
      </c>
      <c r="M68" s="14">
        <f t="shared" si="3"/>
        <v>30909.86679238849</v>
      </c>
      <c r="N68" s="16">
        <v>2163.6906754671941</v>
      </c>
      <c r="O68" s="16">
        <v>2163.6906754671941</v>
      </c>
      <c r="P68" s="16">
        <v>2472.7893433910785</v>
      </c>
      <c r="Q68" s="16">
        <v>2472.7893433910785</v>
      </c>
      <c r="R68" s="16">
        <v>2781.8880113149635</v>
      </c>
      <c r="S68" s="16">
        <v>3090.9866792388484</v>
      </c>
      <c r="T68" s="16">
        <v>2472.7893433910785</v>
      </c>
      <c r="U68" s="16">
        <v>2781.8880113149635</v>
      </c>
      <c r="V68" s="16">
        <v>3090.9866792388484</v>
      </c>
      <c r="W68" s="16">
        <v>2318.2400094291361</v>
      </c>
      <c r="X68" s="16">
        <v>2318.2400094291361</v>
      </c>
      <c r="Y68" s="16">
        <v>2781.8880113149635</v>
      </c>
    </row>
    <row r="69" spans="1:25" x14ac:dyDescent="0.2">
      <c r="A69" s="10" t="str">
        <f t="shared" si="2"/>
        <v>FRANQUIA</v>
      </c>
      <c r="B69" s="13" t="s">
        <v>25</v>
      </c>
      <c r="C69" s="12" t="str">
        <f>IFERROR(VLOOKUP(B69,[1]aux!$G$1:$H$55,2,FALSE),"")</f>
        <v>TSE104</v>
      </c>
      <c r="D69" s="13" t="s">
        <v>49</v>
      </c>
      <c r="E69" s="13" t="s">
        <v>50</v>
      </c>
      <c r="F69" s="13" t="s">
        <v>48</v>
      </c>
      <c r="G69" s="13" t="s">
        <v>43</v>
      </c>
      <c r="H69" s="13" t="s">
        <v>44</v>
      </c>
      <c r="I69" s="13" t="s">
        <v>38</v>
      </c>
      <c r="J69" s="12" t="str">
        <f>IFERROR(VLOOKUP(I69,[1]aux!$A$1:$B$5,2,FALSE),"")</f>
        <v>0258</v>
      </c>
      <c r="K69" s="13" t="s">
        <v>33</v>
      </c>
      <c r="L69" s="12" t="str">
        <f>IFERROR(VLOOKUP(K69,[1]aux!$D$1:$E$12,2,FALSE),"")</f>
        <v>000003</v>
      </c>
      <c r="M69" s="14">
        <f t="shared" si="3"/>
        <v>30909.86679238849</v>
      </c>
      <c r="N69" s="16">
        <v>2163.6906754671941</v>
      </c>
      <c r="O69" s="16">
        <v>2163.6906754671941</v>
      </c>
      <c r="P69" s="16">
        <v>2472.7893433910785</v>
      </c>
      <c r="Q69" s="16">
        <v>2472.7893433910785</v>
      </c>
      <c r="R69" s="16">
        <v>2781.8880113149635</v>
      </c>
      <c r="S69" s="16">
        <v>3090.9866792388484</v>
      </c>
      <c r="T69" s="16">
        <v>2472.7893433910785</v>
      </c>
      <c r="U69" s="16">
        <v>2781.8880113149635</v>
      </c>
      <c r="V69" s="16">
        <v>3090.9866792388484</v>
      </c>
      <c r="W69" s="16">
        <v>2318.2400094291361</v>
      </c>
      <c r="X69" s="16">
        <v>2318.2400094291361</v>
      </c>
      <c r="Y69" s="16">
        <v>2781.8880113149635</v>
      </c>
    </row>
    <row r="70" spans="1:25" x14ac:dyDescent="0.2">
      <c r="A70" s="10" t="str">
        <f t="shared" si="2"/>
        <v>FRANQUIA</v>
      </c>
      <c r="B70" s="13" t="s">
        <v>25</v>
      </c>
      <c r="C70" s="12" t="str">
        <f>IFERROR(VLOOKUP(B70,[1]aux!$G$1:$H$55,2,FALSE),"")</f>
        <v>TSE104</v>
      </c>
      <c r="D70" s="13" t="s">
        <v>49</v>
      </c>
      <c r="E70" s="13" t="s">
        <v>50</v>
      </c>
      <c r="F70" s="13" t="s">
        <v>48</v>
      </c>
      <c r="G70" s="13" t="s">
        <v>43</v>
      </c>
      <c r="H70" s="13" t="s">
        <v>44</v>
      </c>
      <c r="I70" s="13" t="s">
        <v>39</v>
      </c>
      <c r="J70" s="12" t="str">
        <f>IFERROR(VLOOKUP(I70,[1]aux!$A$1:$B$5,2,FALSE),"")</f>
        <v>0303</v>
      </c>
      <c r="K70" s="13" t="s">
        <v>36</v>
      </c>
      <c r="L70" s="12" t="str">
        <f>IFERROR(VLOOKUP(K70,[1]aux!$D$1:$E$12,2,FALSE),"")</f>
        <v>000010</v>
      </c>
      <c r="M70" s="14">
        <f t="shared" si="3"/>
        <v>1362.6665095143985</v>
      </c>
      <c r="N70" s="16">
        <v>95.386655666007883</v>
      </c>
      <c r="O70" s="16">
        <v>95.386655666007883</v>
      </c>
      <c r="P70" s="16">
        <v>109.01332076115186</v>
      </c>
      <c r="Q70" s="16">
        <v>109.01332076115186</v>
      </c>
      <c r="R70" s="16">
        <v>122.63998585629584</v>
      </c>
      <c r="S70" s="16">
        <v>136.26665095143983</v>
      </c>
      <c r="T70" s="16">
        <v>109.01332076115186</v>
      </c>
      <c r="U70" s="16">
        <v>122.63998585629584</v>
      </c>
      <c r="V70" s="16">
        <v>136.26665095143983</v>
      </c>
      <c r="W70" s="16">
        <v>102.19998821357987</v>
      </c>
      <c r="X70" s="16">
        <v>102.19998821357987</v>
      </c>
      <c r="Y70" s="16">
        <v>122.63998585629584</v>
      </c>
    </row>
    <row r="71" spans="1:25" x14ac:dyDescent="0.2">
      <c r="A71" s="10" t="str">
        <f t="shared" si="2"/>
        <v>FRANQUIA</v>
      </c>
      <c r="B71" s="13" t="s">
        <v>25</v>
      </c>
      <c r="C71" s="12" t="str">
        <f>IFERROR(VLOOKUP(B71,[1]aux!$G$1:$H$55,2,FALSE),"")</f>
        <v>TSE104</v>
      </c>
      <c r="D71" s="13" t="s">
        <v>49</v>
      </c>
      <c r="E71" s="13" t="s">
        <v>50</v>
      </c>
      <c r="F71" s="13" t="s">
        <v>48</v>
      </c>
      <c r="G71" s="13" t="s">
        <v>43</v>
      </c>
      <c r="H71" s="13" t="s">
        <v>44</v>
      </c>
      <c r="I71" s="13" t="s">
        <v>39</v>
      </c>
      <c r="J71" s="12" t="str">
        <f>IFERROR(VLOOKUP(I71,[1]aux!$A$1:$B$5,2,FALSE),"")</f>
        <v>0303</v>
      </c>
      <c r="K71" s="13" t="s">
        <v>31</v>
      </c>
      <c r="L71" s="12" t="str">
        <f>IFERROR(VLOOKUP(K71,[1]aux!$D$1:$E$12,2,FALSE),"")</f>
        <v>000005</v>
      </c>
      <c r="M71" s="14">
        <f t="shared" si="3"/>
        <v>1090.1332076115189</v>
      </c>
      <c r="N71" s="16">
        <v>76.309324532806315</v>
      </c>
      <c r="O71" s="16">
        <v>76.309324532806315</v>
      </c>
      <c r="P71" s="16">
        <v>87.210656608921497</v>
      </c>
      <c r="Q71" s="16">
        <v>87.210656608921497</v>
      </c>
      <c r="R71" s="16">
        <v>98.111988685036678</v>
      </c>
      <c r="S71" s="16">
        <v>109.01332076115187</v>
      </c>
      <c r="T71" s="16">
        <v>87.210656608921497</v>
      </c>
      <c r="U71" s="16">
        <v>98.111988685036678</v>
      </c>
      <c r="V71" s="16">
        <v>109.01332076115187</v>
      </c>
      <c r="W71" s="16">
        <v>81.759990570863891</v>
      </c>
      <c r="X71" s="16">
        <v>81.759990570863891</v>
      </c>
      <c r="Y71" s="16">
        <v>98.111988685036678</v>
      </c>
    </row>
    <row r="72" spans="1:25" x14ac:dyDescent="0.2">
      <c r="A72" s="10" t="str">
        <f t="shared" si="2"/>
        <v>FRANQUIA</v>
      </c>
      <c r="B72" s="13" t="s">
        <v>25</v>
      </c>
      <c r="C72" s="12" t="str">
        <f>IFERROR(VLOOKUP(B72,[1]aux!$G$1:$H$55,2,FALSE),"")</f>
        <v>TSE104</v>
      </c>
      <c r="D72" s="13" t="s">
        <v>49</v>
      </c>
      <c r="E72" s="13" t="s">
        <v>50</v>
      </c>
      <c r="F72" s="13" t="s">
        <v>48</v>
      </c>
      <c r="G72" s="13" t="s">
        <v>43</v>
      </c>
      <c r="H72" s="13" t="s">
        <v>44</v>
      </c>
      <c r="I72" s="13" t="s">
        <v>39</v>
      </c>
      <c r="J72" s="12" t="str">
        <f>IFERROR(VLOOKUP(I72,[1]aux!$A$1:$B$5,2,FALSE),"")</f>
        <v>0303</v>
      </c>
      <c r="K72" s="13" t="s">
        <v>33</v>
      </c>
      <c r="L72" s="12" t="str">
        <f>IFERROR(VLOOKUP(K72,[1]aux!$D$1:$E$12,2,FALSE),"")</f>
        <v>000003</v>
      </c>
      <c r="M72" s="14">
        <f t="shared" si="3"/>
        <v>1090.1332076115189</v>
      </c>
      <c r="N72" s="16">
        <v>76.309324532806315</v>
      </c>
      <c r="O72" s="16">
        <v>76.309324532806315</v>
      </c>
      <c r="P72" s="16">
        <v>87.210656608921497</v>
      </c>
      <c r="Q72" s="16">
        <v>87.210656608921497</v>
      </c>
      <c r="R72" s="16">
        <v>98.111988685036678</v>
      </c>
      <c r="S72" s="16">
        <v>109.01332076115187</v>
      </c>
      <c r="T72" s="16">
        <v>87.210656608921497</v>
      </c>
      <c r="U72" s="16">
        <v>98.111988685036678</v>
      </c>
      <c r="V72" s="16">
        <v>109.01332076115187</v>
      </c>
      <c r="W72" s="16">
        <v>81.759990570863891</v>
      </c>
      <c r="X72" s="16">
        <v>81.759990570863891</v>
      </c>
      <c r="Y72" s="16">
        <v>98.111988685036678</v>
      </c>
    </row>
    <row r="73" spans="1:25" x14ac:dyDescent="0.2">
      <c r="A73" s="10" t="str">
        <f t="shared" si="2"/>
        <v>FRANQUIA</v>
      </c>
      <c r="B73" s="13" t="s">
        <v>25</v>
      </c>
      <c r="C73" s="12" t="str">
        <f>IFERROR(VLOOKUP(B73,[1]aux!$G$1:$H$55,2,FALSE),"")</f>
        <v>TSE104</v>
      </c>
      <c r="D73" s="13" t="s">
        <v>49</v>
      </c>
      <c r="E73" s="13" t="s">
        <v>50</v>
      </c>
      <c r="F73" s="13" t="s">
        <v>48</v>
      </c>
      <c r="G73" s="13" t="s">
        <v>43</v>
      </c>
      <c r="H73" s="13" t="s">
        <v>44</v>
      </c>
      <c r="I73" s="13" t="s">
        <v>40</v>
      </c>
      <c r="J73" s="12" t="str">
        <f>IFERROR(VLOOKUP(I73,[1]aux!$A$1:$B$5,2,FALSE),"")</f>
        <v/>
      </c>
      <c r="K73" s="11" t="s">
        <v>35</v>
      </c>
      <c r="L73" s="12" t="str">
        <f>IFERROR(VLOOKUP(K73,[1]aux!$D$1:$E$12,2,FALSE),"")</f>
        <v>000001</v>
      </c>
      <c r="M73" s="14">
        <f t="shared" si="3"/>
        <v>1000000</v>
      </c>
      <c r="N73" s="16">
        <v>68200</v>
      </c>
      <c r="O73" s="16">
        <v>70900</v>
      </c>
      <c r="P73" s="16">
        <v>81400</v>
      </c>
      <c r="Q73" s="16">
        <v>84000</v>
      </c>
      <c r="R73" s="16">
        <v>86600</v>
      </c>
      <c r="S73" s="16">
        <v>89200</v>
      </c>
      <c r="T73" s="16">
        <v>84000</v>
      </c>
      <c r="U73" s="16">
        <v>86600</v>
      </c>
      <c r="V73" s="16">
        <v>89200</v>
      </c>
      <c r="W73" s="16">
        <v>84000</v>
      </c>
      <c r="X73" s="16">
        <v>86600</v>
      </c>
      <c r="Y73" s="16">
        <v>89300</v>
      </c>
    </row>
    <row r="74" spans="1:25" x14ac:dyDescent="0.2">
      <c r="A74" s="10" t="str">
        <f t="shared" si="2"/>
        <v>FRANQUIA</v>
      </c>
      <c r="B74" s="13" t="s">
        <v>25</v>
      </c>
      <c r="C74" s="12" t="str">
        <f>IFERROR(VLOOKUP(B74,[1]aux!$G$1:$H$55,2,FALSE),"")</f>
        <v>TSE104</v>
      </c>
      <c r="D74" s="13" t="s">
        <v>49</v>
      </c>
      <c r="E74" s="13" t="s">
        <v>50</v>
      </c>
      <c r="F74" s="13" t="s">
        <v>48</v>
      </c>
      <c r="G74" s="13" t="s">
        <v>43</v>
      </c>
      <c r="H74" s="13" t="s">
        <v>44</v>
      </c>
      <c r="I74" s="13" t="s">
        <v>41</v>
      </c>
      <c r="J74" s="12" t="str">
        <f>IFERROR(VLOOKUP(I74,[1]aux!$A$1:$B$5,2,FALSE),"")</f>
        <v/>
      </c>
      <c r="K74" s="11" t="s">
        <v>35</v>
      </c>
      <c r="L74" s="12" t="str">
        <f>IFERROR(VLOOKUP(K74,[1]aux!$D$1:$E$12,2,FALSE),"")</f>
        <v>000001</v>
      </c>
      <c r="M74" s="14">
        <f t="shared" si="3"/>
        <v>20000</v>
      </c>
      <c r="N74" s="16">
        <v>1364</v>
      </c>
      <c r="O74" s="16">
        <v>1418</v>
      </c>
      <c r="P74" s="16">
        <v>1628</v>
      </c>
      <c r="Q74" s="16">
        <v>1680</v>
      </c>
      <c r="R74" s="16">
        <v>1732</v>
      </c>
      <c r="S74" s="16">
        <v>1784</v>
      </c>
      <c r="T74" s="16">
        <v>1680</v>
      </c>
      <c r="U74" s="16">
        <v>1732</v>
      </c>
      <c r="V74" s="16">
        <v>1784</v>
      </c>
      <c r="W74" s="16">
        <v>1680</v>
      </c>
      <c r="X74" s="16">
        <v>1732</v>
      </c>
      <c r="Y74" s="16">
        <v>1786</v>
      </c>
    </row>
    <row r="75" spans="1:25" x14ac:dyDescent="0.2">
      <c r="A75" s="10" t="str">
        <f t="shared" si="2"/>
        <v>FRANQUIA</v>
      </c>
      <c r="B75" s="13" t="s">
        <v>25</v>
      </c>
      <c r="C75" s="12" t="str">
        <f>IFERROR(VLOOKUP(B75,[1]aux!$G$1:$H$55,2,FALSE),"")</f>
        <v>TSE104</v>
      </c>
      <c r="D75" s="13" t="s">
        <v>49</v>
      </c>
      <c r="E75" s="13" t="s">
        <v>50</v>
      </c>
      <c r="F75" s="13" t="s">
        <v>48</v>
      </c>
      <c r="G75" s="13" t="s">
        <v>43</v>
      </c>
      <c r="H75" s="13" t="s">
        <v>44</v>
      </c>
      <c r="I75" s="13" t="s">
        <v>42</v>
      </c>
      <c r="J75" s="12" t="str">
        <f>IFERROR(VLOOKUP(I75,[1]aux!$A$1:$B$5,2,FALSE),"")</f>
        <v/>
      </c>
      <c r="K75" s="11" t="s">
        <v>35</v>
      </c>
      <c r="L75" s="12" t="str">
        <f>IFERROR(VLOOKUP(K75,[1]aux!$D$1:$E$12,2,FALSE),"")</f>
        <v>000001</v>
      </c>
      <c r="M75" s="14">
        <f t="shared" si="3"/>
        <v>10000</v>
      </c>
      <c r="N75" s="16">
        <v>682</v>
      </c>
      <c r="O75" s="16">
        <v>709</v>
      </c>
      <c r="P75" s="16">
        <v>814</v>
      </c>
      <c r="Q75" s="16">
        <v>840</v>
      </c>
      <c r="R75" s="16">
        <v>866</v>
      </c>
      <c r="S75" s="16">
        <v>892</v>
      </c>
      <c r="T75" s="16">
        <v>840</v>
      </c>
      <c r="U75" s="16">
        <v>866</v>
      </c>
      <c r="V75" s="16">
        <v>892</v>
      </c>
      <c r="W75" s="16">
        <v>840</v>
      </c>
      <c r="X75" s="16">
        <v>866</v>
      </c>
      <c r="Y75" s="16">
        <v>893</v>
      </c>
    </row>
    <row r="76" spans="1:25" x14ac:dyDescent="0.2">
      <c r="A76" s="10" t="str">
        <f t="shared" si="2"/>
        <v>FRANQUIA</v>
      </c>
      <c r="B76" s="13" t="s">
        <v>25</v>
      </c>
      <c r="C76" s="12" t="str">
        <f>IFERROR(VLOOKUP(B76,[1]aux!$G$1:$H$55,2,FALSE),"")</f>
        <v>TSE104</v>
      </c>
      <c r="D76" s="13" t="s">
        <v>51</v>
      </c>
      <c r="E76" s="13" t="s">
        <v>52</v>
      </c>
      <c r="F76" s="13" t="s">
        <v>48</v>
      </c>
      <c r="G76" s="13" t="s">
        <v>43</v>
      </c>
      <c r="H76" s="13" t="s">
        <v>44</v>
      </c>
      <c r="I76" s="13" t="s">
        <v>29</v>
      </c>
      <c r="J76" s="12" t="str">
        <f>IFERROR(VLOOKUP(I76,[1]aux!$A$1:$B$5,2,FALSE),"")</f>
        <v>0203</v>
      </c>
      <c r="K76" s="13" t="s">
        <v>37</v>
      </c>
      <c r="L76" s="12" t="str">
        <f>IFERROR(VLOOKUP(K76,[1]aux!$D$1:$E$12,2,FALSE),"")</f>
        <v>000009</v>
      </c>
      <c r="M76" s="14">
        <f t="shared" si="3"/>
        <v>100000</v>
      </c>
      <c r="N76" s="16">
        <v>15000</v>
      </c>
      <c r="O76" s="16">
        <v>7500</v>
      </c>
      <c r="P76" s="16">
        <v>7500</v>
      </c>
      <c r="Q76" s="16">
        <v>7500</v>
      </c>
      <c r="R76" s="16">
        <v>7500</v>
      </c>
      <c r="S76" s="16">
        <v>9000</v>
      </c>
      <c r="T76" s="16">
        <v>7500</v>
      </c>
      <c r="U76" s="16">
        <v>7500</v>
      </c>
      <c r="V76" s="16">
        <v>9000</v>
      </c>
      <c r="W76" s="16">
        <v>7000.0000000000009</v>
      </c>
      <c r="X76" s="16">
        <v>7000.0000000000009</v>
      </c>
      <c r="Y76" s="16">
        <v>8000</v>
      </c>
    </row>
    <row r="77" spans="1:25" x14ac:dyDescent="0.2">
      <c r="A77" s="10" t="str">
        <f t="shared" si="2"/>
        <v>FRANQUIA</v>
      </c>
      <c r="B77" s="13" t="s">
        <v>25</v>
      </c>
      <c r="C77" s="12" t="str">
        <f>IFERROR(VLOOKUP(B77,[1]aux!$G$1:$H$55,2,FALSE),"")</f>
        <v>TSE104</v>
      </c>
      <c r="D77" s="13" t="s">
        <v>51</v>
      </c>
      <c r="E77" s="13" t="s">
        <v>52</v>
      </c>
      <c r="F77" s="13" t="s">
        <v>48</v>
      </c>
      <c r="G77" s="13" t="s">
        <v>43</v>
      </c>
      <c r="H77" s="13" t="s">
        <v>44</v>
      </c>
      <c r="I77" s="13" t="s">
        <v>29</v>
      </c>
      <c r="J77" s="12" t="str">
        <f>IFERROR(VLOOKUP(I77,[1]aux!$A$1:$B$5,2,FALSE),"")</f>
        <v>0203</v>
      </c>
      <c r="K77" s="13" t="s">
        <v>32</v>
      </c>
      <c r="L77" s="12" t="str">
        <f>IFERROR(VLOOKUP(K77,[1]aux!$D$1:$E$12,2,FALSE),"")</f>
        <v>000013</v>
      </c>
      <c r="M77" s="14">
        <f t="shared" si="3"/>
        <v>100000</v>
      </c>
      <c r="N77" s="16">
        <v>15000</v>
      </c>
      <c r="O77" s="16">
        <v>7500</v>
      </c>
      <c r="P77" s="16">
        <v>7500</v>
      </c>
      <c r="Q77" s="16">
        <v>7500</v>
      </c>
      <c r="R77" s="16">
        <v>7500</v>
      </c>
      <c r="S77" s="16">
        <v>9000</v>
      </c>
      <c r="T77" s="16">
        <v>7500</v>
      </c>
      <c r="U77" s="16">
        <v>7500</v>
      </c>
      <c r="V77" s="16">
        <v>9000</v>
      </c>
      <c r="W77" s="16">
        <v>7000.0000000000009</v>
      </c>
      <c r="X77" s="16">
        <v>7000.0000000000009</v>
      </c>
      <c r="Y77" s="16">
        <v>8000</v>
      </c>
    </row>
    <row r="78" spans="1:25" x14ac:dyDescent="0.2">
      <c r="A78" s="10" t="str">
        <f t="shared" si="2"/>
        <v>FRANQUIA</v>
      </c>
      <c r="B78" s="13" t="s">
        <v>25</v>
      </c>
      <c r="C78" s="12" t="str">
        <f>IFERROR(VLOOKUP(B78,[1]aux!$G$1:$H$55,2,FALSE),"")</f>
        <v>TSE104</v>
      </c>
      <c r="D78" s="13" t="s">
        <v>51</v>
      </c>
      <c r="E78" s="13" t="s">
        <v>52</v>
      </c>
      <c r="F78" s="13" t="s">
        <v>48</v>
      </c>
      <c r="G78" s="13" t="s">
        <v>43</v>
      </c>
      <c r="H78" s="13" t="s">
        <v>44</v>
      </c>
      <c r="I78" s="13" t="s">
        <v>38</v>
      </c>
      <c r="J78" s="12" t="str">
        <f>IFERROR(VLOOKUP(I78,[1]aux!$A$1:$B$5,2,FALSE),"")</f>
        <v>0258</v>
      </c>
      <c r="K78" s="13" t="s">
        <v>37</v>
      </c>
      <c r="L78" s="12" t="str">
        <f>IFERROR(VLOOKUP(K78,[1]aux!$D$1:$E$12,2,FALSE),"")</f>
        <v>000009</v>
      </c>
      <c r="M78" s="14">
        <f t="shared" si="3"/>
        <v>47276.782766936798</v>
      </c>
      <c r="N78" s="16">
        <v>3309.3747936855757</v>
      </c>
      <c r="O78" s="16">
        <v>3309.3747936855757</v>
      </c>
      <c r="P78" s="16">
        <v>3782.1426213549435</v>
      </c>
      <c r="Q78" s="16">
        <v>3782.1426213549435</v>
      </c>
      <c r="R78" s="16">
        <v>4254.9104490243108</v>
      </c>
      <c r="S78" s="16">
        <v>4727.6782766936794</v>
      </c>
      <c r="T78" s="16">
        <v>3782.1426213549435</v>
      </c>
      <c r="U78" s="16">
        <v>4254.9104490243108</v>
      </c>
      <c r="V78" s="16">
        <v>4727.6782766936794</v>
      </c>
      <c r="W78" s="16">
        <v>3545.7587075202591</v>
      </c>
      <c r="X78" s="16">
        <v>3545.7587075202591</v>
      </c>
      <c r="Y78" s="16">
        <v>4254.9104490243108</v>
      </c>
    </row>
    <row r="79" spans="1:25" x14ac:dyDescent="0.2">
      <c r="A79" s="10" t="str">
        <f t="shared" si="2"/>
        <v>FRANQUIA</v>
      </c>
      <c r="B79" s="13" t="s">
        <v>25</v>
      </c>
      <c r="C79" s="12" t="str">
        <f>IFERROR(VLOOKUP(B79,[1]aux!$G$1:$H$55,2,FALSE),"")</f>
        <v>TSE104</v>
      </c>
      <c r="D79" s="13" t="s">
        <v>51</v>
      </c>
      <c r="E79" s="13" t="s">
        <v>52</v>
      </c>
      <c r="F79" s="13" t="s">
        <v>48</v>
      </c>
      <c r="G79" s="13" t="s">
        <v>43</v>
      </c>
      <c r="H79" s="13" t="s">
        <v>44</v>
      </c>
      <c r="I79" s="13" t="s">
        <v>38</v>
      </c>
      <c r="J79" s="12" t="str">
        <f>IFERROR(VLOOKUP(I79,[1]aux!$A$1:$B$5,2,FALSE),"")</f>
        <v>0258</v>
      </c>
      <c r="K79" s="13" t="s">
        <v>32</v>
      </c>
      <c r="L79" s="12" t="str">
        <f>IFERROR(VLOOKUP(K79,[1]aux!$D$1:$E$12,2,FALSE),"")</f>
        <v>000013</v>
      </c>
      <c r="M79" s="14">
        <f t="shared" si="3"/>
        <v>47276.782766936798</v>
      </c>
      <c r="N79" s="16">
        <v>3309.3747936855757</v>
      </c>
      <c r="O79" s="16">
        <v>3309.3747936855757</v>
      </c>
      <c r="P79" s="16">
        <v>3782.1426213549435</v>
      </c>
      <c r="Q79" s="16">
        <v>3782.1426213549435</v>
      </c>
      <c r="R79" s="16">
        <v>4254.9104490243108</v>
      </c>
      <c r="S79" s="16">
        <v>4727.6782766936794</v>
      </c>
      <c r="T79" s="16">
        <v>3782.1426213549435</v>
      </c>
      <c r="U79" s="16">
        <v>4254.9104490243108</v>
      </c>
      <c r="V79" s="16">
        <v>4727.6782766936794</v>
      </c>
      <c r="W79" s="16">
        <v>3545.7587075202591</v>
      </c>
      <c r="X79" s="16">
        <v>3545.7587075202591</v>
      </c>
      <c r="Y79" s="16">
        <v>4254.9104490243108</v>
      </c>
    </row>
    <row r="80" spans="1:25" x14ac:dyDescent="0.2">
      <c r="A80" s="10" t="str">
        <f t="shared" si="2"/>
        <v>FRANQUIA</v>
      </c>
      <c r="B80" s="13" t="s">
        <v>25</v>
      </c>
      <c r="C80" s="12" t="str">
        <f>IFERROR(VLOOKUP(B80,[1]aux!$G$1:$H$55,2,FALSE),"")</f>
        <v>TSE104</v>
      </c>
      <c r="D80" s="13" t="s">
        <v>51</v>
      </c>
      <c r="E80" s="13" t="s">
        <v>52</v>
      </c>
      <c r="F80" s="13" t="s">
        <v>48</v>
      </c>
      <c r="G80" s="13" t="s">
        <v>43</v>
      </c>
      <c r="H80" s="13" t="s">
        <v>44</v>
      </c>
      <c r="I80" s="13" t="s">
        <v>39</v>
      </c>
      <c r="J80" s="12" t="str">
        <f>IFERROR(VLOOKUP(I80,[1]aux!$A$1:$B$5,2,FALSE),"")</f>
        <v>0303</v>
      </c>
      <c r="K80" s="13" t="s">
        <v>37</v>
      </c>
      <c r="L80" s="12" t="str">
        <f>IFERROR(VLOOKUP(K80,[1]aux!$D$1:$E$12,2,FALSE),"")</f>
        <v>000009</v>
      </c>
      <c r="M80" s="14">
        <f t="shared" si="3"/>
        <v>4723.2172330632065</v>
      </c>
      <c r="N80" s="16">
        <v>330.62520631442453</v>
      </c>
      <c r="O80" s="16">
        <v>330.62520631442453</v>
      </c>
      <c r="P80" s="16">
        <v>377.8573786450566</v>
      </c>
      <c r="Q80" s="16">
        <v>377.8573786450566</v>
      </c>
      <c r="R80" s="16">
        <v>425.08955097568867</v>
      </c>
      <c r="S80" s="16">
        <v>472.32172330632079</v>
      </c>
      <c r="T80" s="16">
        <v>377.8573786450566</v>
      </c>
      <c r="U80" s="16">
        <v>425.08955097568867</v>
      </c>
      <c r="V80" s="16">
        <v>472.32172330632079</v>
      </c>
      <c r="W80" s="16">
        <v>354.24129247974054</v>
      </c>
      <c r="X80" s="16">
        <v>354.24129247974054</v>
      </c>
      <c r="Y80" s="16">
        <v>425.08955097568867</v>
      </c>
    </row>
    <row r="81" spans="1:25" x14ac:dyDescent="0.2">
      <c r="A81" s="10" t="str">
        <f t="shared" si="2"/>
        <v>FRANQUIA</v>
      </c>
      <c r="B81" s="13" t="s">
        <v>25</v>
      </c>
      <c r="C81" s="12" t="str">
        <f>IFERROR(VLOOKUP(B81,[1]aux!$G$1:$H$55,2,FALSE),"")</f>
        <v>TSE104</v>
      </c>
      <c r="D81" s="13" t="s">
        <v>51</v>
      </c>
      <c r="E81" s="13" t="s">
        <v>52</v>
      </c>
      <c r="F81" s="13" t="s">
        <v>48</v>
      </c>
      <c r="G81" s="13" t="s">
        <v>43</v>
      </c>
      <c r="H81" s="13" t="s">
        <v>44</v>
      </c>
      <c r="I81" s="13" t="s">
        <v>39</v>
      </c>
      <c r="J81" s="12" t="str">
        <f>IFERROR(VLOOKUP(I81,[1]aux!$A$1:$B$5,2,FALSE),"")</f>
        <v>0303</v>
      </c>
      <c r="K81" s="13" t="s">
        <v>32</v>
      </c>
      <c r="L81" s="12" t="str">
        <f>IFERROR(VLOOKUP(K81,[1]aux!$D$1:$E$12,2,FALSE),"")</f>
        <v>000013</v>
      </c>
      <c r="M81" s="14">
        <f t="shared" si="3"/>
        <v>4723.2172330632065</v>
      </c>
      <c r="N81" s="16">
        <v>330.62520631442453</v>
      </c>
      <c r="O81" s="16">
        <v>330.62520631442453</v>
      </c>
      <c r="P81" s="16">
        <v>377.8573786450566</v>
      </c>
      <c r="Q81" s="16">
        <v>377.8573786450566</v>
      </c>
      <c r="R81" s="16">
        <v>425.08955097568867</v>
      </c>
      <c r="S81" s="16">
        <v>472.32172330632079</v>
      </c>
      <c r="T81" s="16">
        <v>377.8573786450566</v>
      </c>
      <c r="U81" s="16">
        <v>425.08955097568867</v>
      </c>
      <c r="V81" s="16">
        <v>472.32172330632079</v>
      </c>
      <c r="W81" s="16">
        <v>354.24129247974054</v>
      </c>
      <c r="X81" s="16">
        <v>354.24129247974054</v>
      </c>
      <c r="Y81" s="16">
        <v>425.08955097568867</v>
      </c>
    </row>
    <row r="82" spans="1:25" x14ac:dyDescent="0.2">
      <c r="A82" s="10" t="str">
        <f t="shared" si="2"/>
        <v>FRANQUIA</v>
      </c>
      <c r="B82" s="13" t="s">
        <v>25</v>
      </c>
      <c r="C82" s="12" t="str">
        <f>IFERROR(VLOOKUP(B82,[1]aux!$G$1:$H$55,2,FALSE),"")</f>
        <v>TSE104</v>
      </c>
      <c r="D82" s="13" t="s">
        <v>51</v>
      </c>
      <c r="E82" s="13" t="s">
        <v>52</v>
      </c>
      <c r="F82" s="13" t="s">
        <v>48</v>
      </c>
      <c r="G82" s="13" t="s">
        <v>43</v>
      </c>
      <c r="H82" s="13" t="s">
        <v>44</v>
      </c>
      <c r="I82" s="13" t="s">
        <v>40</v>
      </c>
      <c r="J82" s="12" t="str">
        <f>IFERROR(VLOOKUP(I82,[1]aux!$A$1:$B$5,2,FALSE),"")</f>
        <v/>
      </c>
      <c r="K82" s="11" t="s">
        <v>35</v>
      </c>
      <c r="L82" s="12" t="str">
        <f>IFERROR(VLOOKUP(K82,[1]aux!$D$1:$E$12,2,FALSE),"")</f>
        <v>000001</v>
      </c>
      <c r="M82" s="14">
        <f t="shared" si="3"/>
        <v>1000000</v>
      </c>
      <c r="N82" s="16">
        <v>68200</v>
      </c>
      <c r="O82" s="16">
        <v>70900</v>
      </c>
      <c r="P82" s="16">
        <v>81400</v>
      </c>
      <c r="Q82" s="16">
        <v>84000</v>
      </c>
      <c r="R82" s="16">
        <v>86600</v>
      </c>
      <c r="S82" s="16">
        <v>89200</v>
      </c>
      <c r="T82" s="16">
        <v>84000</v>
      </c>
      <c r="U82" s="16">
        <v>86600</v>
      </c>
      <c r="V82" s="16">
        <v>89200</v>
      </c>
      <c r="W82" s="16">
        <v>84000</v>
      </c>
      <c r="X82" s="16">
        <v>86600</v>
      </c>
      <c r="Y82" s="16">
        <v>89300</v>
      </c>
    </row>
    <row r="83" spans="1:25" x14ac:dyDescent="0.2">
      <c r="A83" s="10" t="str">
        <f t="shared" si="2"/>
        <v>FRANQUIA</v>
      </c>
      <c r="B83" s="13" t="s">
        <v>25</v>
      </c>
      <c r="C83" s="12" t="str">
        <f>IFERROR(VLOOKUP(B83,[1]aux!$G$1:$H$55,2,FALSE),"")</f>
        <v>TSE104</v>
      </c>
      <c r="D83" s="13" t="s">
        <v>51</v>
      </c>
      <c r="E83" s="13" t="s">
        <v>52</v>
      </c>
      <c r="F83" s="13" t="s">
        <v>48</v>
      </c>
      <c r="G83" s="13" t="s">
        <v>43</v>
      </c>
      <c r="H83" s="13" t="s">
        <v>44</v>
      </c>
      <c r="I83" s="13" t="s">
        <v>41</v>
      </c>
      <c r="J83" s="12" t="str">
        <f>IFERROR(VLOOKUP(I83,[1]aux!$A$1:$B$5,2,FALSE),"")</f>
        <v/>
      </c>
      <c r="K83" s="11" t="s">
        <v>35</v>
      </c>
      <c r="L83" s="12" t="str">
        <f>IFERROR(VLOOKUP(K83,[1]aux!$D$1:$E$12,2,FALSE),"")</f>
        <v>000001</v>
      </c>
      <c r="M83" s="14">
        <f t="shared" si="3"/>
        <v>20000</v>
      </c>
      <c r="N83" s="16">
        <v>1364</v>
      </c>
      <c r="O83" s="16">
        <v>1418</v>
      </c>
      <c r="P83" s="16">
        <v>1628</v>
      </c>
      <c r="Q83" s="16">
        <v>1680</v>
      </c>
      <c r="R83" s="16">
        <v>1732</v>
      </c>
      <c r="S83" s="16">
        <v>1784</v>
      </c>
      <c r="T83" s="16">
        <v>1680</v>
      </c>
      <c r="U83" s="16">
        <v>1732</v>
      </c>
      <c r="V83" s="16">
        <v>1784</v>
      </c>
      <c r="W83" s="16">
        <v>1680</v>
      </c>
      <c r="X83" s="16">
        <v>1732</v>
      </c>
      <c r="Y83" s="16">
        <v>1786</v>
      </c>
    </row>
    <row r="84" spans="1:25" x14ac:dyDescent="0.2">
      <c r="A84" s="10" t="str">
        <f>IF(B84&lt;&gt;"","FRANQUIA","")</f>
        <v>FRANQUIA</v>
      </c>
      <c r="B84" s="13" t="s">
        <v>25</v>
      </c>
      <c r="C84" s="12" t="str">
        <f>IFERROR(VLOOKUP(B84,[1]aux!$G$1:$H$55,2,FALSE),"")</f>
        <v>TSE104</v>
      </c>
      <c r="D84" s="13" t="s">
        <v>51</v>
      </c>
      <c r="E84" s="13" t="s">
        <v>52</v>
      </c>
      <c r="F84" s="13" t="s">
        <v>48</v>
      </c>
      <c r="G84" s="13" t="s">
        <v>43</v>
      </c>
      <c r="H84" s="13" t="s">
        <v>44</v>
      </c>
      <c r="I84" s="13" t="s">
        <v>42</v>
      </c>
      <c r="J84" s="12" t="str">
        <f>IFERROR(VLOOKUP(I84,[1]aux!$A$1:$B$5,2,FALSE),"")</f>
        <v/>
      </c>
      <c r="K84" s="11" t="s">
        <v>35</v>
      </c>
      <c r="L84" s="12" t="str">
        <f>IFERROR(VLOOKUP(K84,[1]aux!$D$1:$E$12,2,FALSE),"")</f>
        <v>000001</v>
      </c>
      <c r="M84" s="14">
        <f t="shared" si="3"/>
        <v>10000</v>
      </c>
      <c r="N84" s="16">
        <v>682</v>
      </c>
      <c r="O84" s="16">
        <v>709</v>
      </c>
      <c r="P84" s="16">
        <v>814</v>
      </c>
      <c r="Q84" s="16">
        <v>840</v>
      </c>
      <c r="R84" s="16">
        <v>866</v>
      </c>
      <c r="S84" s="16">
        <v>892</v>
      </c>
      <c r="T84" s="16">
        <v>840</v>
      </c>
      <c r="U84" s="16">
        <v>866</v>
      </c>
      <c r="V84" s="16">
        <v>892</v>
      </c>
      <c r="W84" s="16">
        <v>840</v>
      </c>
      <c r="X84" s="16">
        <v>866</v>
      </c>
      <c r="Y84" s="16">
        <v>893</v>
      </c>
    </row>
    <row r="85" spans="1:25" x14ac:dyDescent="0.2">
      <c r="A85" s="10" t="str">
        <f t="shared" ref="A85:A94" si="4">IF(B85&lt;&gt;"","FRANQUIA","")</f>
        <v>FRANQUIA</v>
      </c>
      <c r="B85" s="13" t="s">
        <v>25</v>
      </c>
      <c r="C85" s="12" t="str">
        <f>IFERROR(VLOOKUP(B85,[2]aux!$G$1:$H$55,2,FALSE),"")</f>
        <v>TSE104</v>
      </c>
      <c r="D85" s="13" t="s">
        <v>53</v>
      </c>
      <c r="E85" s="13" t="s">
        <v>54</v>
      </c>
      <c r="F85" s="13" t="s">
        <v>48</v>
      </c>
      <c r="G85" s="13" t="s">
        <v>43</v>
      </c>
      <c r="H85" s="13" t="s">
        <v>44</v>
      </c>
      <c r="I85" s="13" t="s">
        <v>29</v>
      </c>
      <c r="J85" s="12" t="str">
        <f>IFERROR(VLOOKUP(I85,[2]aux!$A$1:$B$5,2,FALSE),"")</f>
        <v>0203</v>
      </c>
      <c r="K85" s="13" t="s">
        <v>34</v>
      </c>
      <c r="L85" s="12" t="str">
        <f>IFERROR(VLOOKUP(K85,[2]aux!$D$1:$E$12,2,FALSE),"")</f>
        <v>000014</v>
      </c>
      <c r="M85" s="14">
        <f t="shared" si="3"/>
        <v>13500</v>
      </c>
      <c r="N85" s="16">
        <v>9000</v>
      </c>
      <c r="O85" s="16">
        <v>4500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</row>
    <row r="86" spans="1:25" x14ac:dyDescent="0.2">
      <c r="A86" s="10" t="str">
        <f t="shared" si="4"/>
        <v>FRANQUIA</v>
      </c>
      <c r="B86" s="13" t="s">
        <v>25</v>
      </c>
      <c r="C86" s="12" t="str">
        <f>IFERROR(VLOOKUP(B86,[2]aux!$G$1:$H$55,2,FALSE),"")</f>
        <v>TSE104</v>
      </c>
      <c r="D86" s="13" t="s">
        <v>53</v>
      </c>
      <c r="E86" s="13" t="s">
        <v>54</v>
      </c>
      <c r="F86" s="13" t="s">
        <v>48</v>
      </c>
      <c r="G86" s="13" t="s">
        <v>43</v>
      </c>
      <c r="H86" s="13" t="s">
        <v>44</v>
      </c>
      <c r="I86" s="13" t="s">
        <v>29</v>
      </c>
      <c r="J86" s="12" t="str">
        <f>IFERROR(VLOOKUP(I86,[2]aux!$A$1:$B$5,2,FALSE),"")</f>
        <v>0203</v>
      </c>
      <c r="K86" s="13" t="s">
        <v>35</v>
      </c>
      <c r="L86" s="12" t="str">
        <f>IFERROR(VLOOKUP(K86,[2]aux!$D$1:$E$12,2,FALSE),"")</f>
        <v>000001</v>
      </c>
      <c r="M86" s="14">
        <f t="shared" si="3"/>
        <v>31500</v>
      </c>
      <c r="N86" s="16">
        <v>21000</v>
      </c>
      <c r="O86" s="16">
        <v>10500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</row>
    <row r="87" spans="1:25" x14ac:dyDescent="0.2">
      <c r="A87" s="10" t="str">
        <f t="shared" si="4"/>
        <v>FRANQUIA</v>
      </c>
      <c r="B87" s="13" t="s">
        <v>25</v>
      </c>
      <c r="C87" s="12" t="str">
        <f>IFERROR(VLOOKUP(B87,[2]aux!$G$1:$H$55,2,FALSE),"")</f>
        <v>TSE104</v>
      </c>
      <c r="D87" s="13" t="s">
        <v>53</v>
      </c>
      <c r="E87" s="13" t="s">
        <v>54</v>
      </c>
      <c r="F87" s="13" t="s">
        <v>48</v>
      </c>
      <c r="G87" s="13" t="s">
        <v>43</v>
      </c>
      <c r="H87" s="13" t="s">
        <v>44</v>
      </c>
      <c r="I87" s="13" t="s">
        <v>38</v>
      </c>
      <c r="J87" s="12" t="str">
        <f>IFERROR(VLOOKUP(I87,[2]aux!$A$1:$B$5,2,FALSE),"")</f>
        <v>0258</v>
      </c>
      <c r="K87" s="13" t="s">
        <v>34</v>
      </c>
      <c r="L87" s="12" t="str">
        <f>IFERROR(VLOOKUP(K87,[2]aux!$D$1:$E$12,2,FALSE),"")</f>
        <v>000014</v>
      </c>
      <c r="M87" s="14">
        <f t="shared" si="3"/>
        <v>5409.2266886679845</v>
      </c>
      <c r="N87" s="16">
        <v>2704.6133443339922</v>
      </c>
      <c r="O87" s="16">
        <v>2704.6133443339922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</row>
    <row r="88" spans="1:25" x14ac:dyDescent="0.2">
      <c r="A88" s="10" t="str">
        <f t="shared" si="4"/>
        <v>FRANQUIA</v>
      </c>
      <c r="B88" s="13" t="s">
        <v>25</v>
      </c>
      <c r="C88" s="12" t="str">
        <f>IFERROR(VLOOKUP(B88,[2]aux!$G$1:$H$55,2,FALSE),"")</f>
        <v>TSE104</v>
      </c>
      <c r="D88" s="13" t="s">
        <v>53</v>
      </c>
      <c r="E88" s="13" t="s">
        <v>54</v>
      </c>
      <c r="F88" s="13" t="s">
        <v>48</v>
      </c>
      <c r="G88" s="13" t="s">
        <v>43</v>
      </c>
      <c r="H88" s="13" t="s">
        <v>44</v>
      </c>
      <c r="I88" s="13" t="s">
        <v>38</v>
      </c>
      <c r="J88" s="12" t="str">
        <f>IFERROR(VLOOKUP(I88,[2]aux!$A$1:$B$5,2,FALSE),"")</f>
        <v>0258</v>
      </c>
      <c r="K88" s="13" t="s">
        <v>35</v>
      </c>
      <c r="L88" s="12" t="str">
        <f>IFERROR(VLOOKUP(K88,[2]aux!$D$1:$E$12,2,FALSE),"")</f>
        <v>000001</v>
      </c>
      <c r="M88" s="14">
        <f t="shared" si="3"/>
        <v>11423.436674499415</v>
      </c>
      <c r="N88" s="16">
        <v>5711.7183372497075</v>
      </c>
      <c r="O88" s="16">
        <v>5711.7183372497075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</row>
    <row r="89" spans="1:25" x14ac:dyDescent="0.2">
      <c r="A89" s="10" t="str">
        <f t="shared" si="4"/>
        <v>FRANQUIA</v>
      </c>
      <c r="B89" s="13" t="s">
        <v>25</v>
      </c>
      <c r="C89" s="12" t="str">
        <f>IFERROR(VLOOKUP(B89,[2]aux!$G$1:$H$55,2,FALSE),"")</f>
        <v>TSE104</v>
      </c>
      <c r="D89" s="13" t="s">
        <v>53</v>
      </c>
      <c r="E89" s="13" t="s">
        <v>54</v>
      </c>
      <c r="F89" s="13" t="s">
        <v>48</v>
      </c>
      <c r="G89" s="13" t="s">
        <v>43</v>
      </c>
      <c r="H89" s="13" t="s">
        <v>44</v>
      </c>
      <c r="I89" s="13" t="s">
        <v>39</v>
      </c>
      <c r="J89" s="12" t="str">
        <f>IFERROR(VLOOKUP(I89,[2]aux!$A$1:$B$5,2,FALSE),"")</f>
        <v>0303</v>
      </c>
      <c r="K89" s="13" t="s">
        <v>34</v>
      </c>
      <c r="L89" s="12" t="str">
        <f>IFERROR(VLOOKUP(K89,[2]aux!$D$1:$E$12,2,FALSE),"")</f>
        <v>000014</v>
      </c>
      <c r="M89" s="14">
        <f t="shared" si="3"/>
        <v>190.77331133201577</v>
      </c>
      <c r="N89" s="16">
        <v>95.386655666007883</v>
      </c>
      <c r="O89" s="16">
        <v>95.386655666007883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</row>
    <row r="90" spans="1:25" x14ac:dyDescent="0.2">
      <c r="A90" s="10" t="str">
        <f t="shared" si="4"/>
        <v>FRANQUIA</v>
      </c>
      <c r="B90" s="13" t="s">
        <v>25</v>
      </c>
      <c r="C90" s="12" t="str">
        <f>IFERROR(VLOOKUP(B90,[2]aux!$G$1:$H$55,2,FALSE),"")</f>
        <v>TSE104</v>
      </c>
      <c r="D90" s="13" t="s">
        <v>53</v>
      </c>
      <c r="E90" s="13" t="s">
        <v>54</v>
      </c>
      <c r="F90" s="13" t="s">
        <v>48</v>
      </c>
      <c r="G90" s="13" t="s">
        <v>43</v>
      </c>
      <c r="H90" s="13" t="s">
        <v>44</v>
      </c>
      <c r="I90" s="13" t="s">
        <v>39</v>
      </c>
      <c r="J90" s="12" t="str">
        <f>IFERROR(VLOOKUP(I90,[2]aux!$A$1:$B$5,2,FALSE),"")</f>
        <v>0303</v>
      </c>
      <c r="K90" s="13" t="s">
        <v>35</v>
      </c>
      <c r="L90" s="12" t="str">
        <f>IFERROR(VLOOKUP(K90,[2]aux!$D$1:$E$12,2,FALSE),"")</f>
        <v>000001</v>
      </c>
      <c r="M90" s="14">
        <f t="shared" si="3"/>
        <v>853.77526774674789</v>
      </c>
      <c r="N90" s="16">
        <v>426.88763387337394</v>
      </c>
      <c r="O90" s="16">
        <v>426.88763387337394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</row>
    <row r="91" spans="1:25" x14ac:dyDescent="0.2">
      <c r="A91" s="10" t="str">
        <f t="shared" si="4"/>
        <v>FRANQUIA</v>
      </c>
      <c r="B91" s="13" t="s">
        <v>25</v>
      </c>
      <c r="C91" s="12" t="str">
        <f>IFERROR(VLOOKUP(B91,[2]aux!$G$1:$H$55,2,FALSE),"")</f>
        <v>TSE104</v>
      </c>
      <c r="D91" s="13" t="s">
        <v>53</v>
      </c>
      <c r="E91" s="13" t="s">
        <v>54</v>
      </c>
      <c r="F91" s="13" t="s">
        <v>48</v>
      </c>
      <c r="G91" s="13" t="s">
        <v>43</v>
      </c>
      <c r="H91" s="13" t="s">
        <v>44</v>
      </c>
      <c r="I91" s="13" t="s">
        <v>38</v>
      </c>
      <c r="J91" s="12" t="str">
        <f>IFERROR(VLOOKUP(I91,[2]aux!$A$1:$B$5,2,FALSE),"")</f>
        <v>0258</v>
      </c>
      <c r="K91" s="13" t="s">
        <v>35</v>
      </c>
      <c r="L91" s="12" t="str">
        <f>IFERROR(VLOOKUP(K91,[2]aux!$D$1:$E$12,2,FALSE),"")</f>
        <v>000001</v>
      </c>
      <c r="M91" s="14">
        <f t="shared" si="3"/>
        <v>322.7880577538395</v>
      </c>
      <c r="N91" s="16">
        <v>161.39402887691975</v>
      </c>
      <c r="O91" s="16">
        <v>161.39402887691975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</row>
    <row r="92" spans="1:25" x14ac:dyDescent="0.2">
      <c r="A92" s="10" t="str">
        <f t="shared" si="4"/>
        <v>FRANQUIA</v>
      </c>
      <c r="B92" s="13" t="s">
        <v>25</v>
      </c>
      <c r="C92" s="12" t="str">
        <f>IFERROR(VLOOKUP(B92,[2]aux!$G$1:$H$55,2,FALSE),"")</f>
        <v>TSE104</v>
      </c>
      <c r="D92" s="13" t="s">
        <v>53</v>
      </c>
      <c r="E92" s="13" t="s">
        <v>54</v>
      </c>
      <c r="F92" s="13" t="s">
        <v>48</v>
      </c>
      <c r="G92" s="13" t="s">
        <v>43</v>
      </c>
      <c r="H92" s="13" t="s">
        <v>44</v>
      </c>
      <c r="I92" s="13" t="s">
        <v>40</v>
      </c>
      <c r="J92" s="12" t="str">
        <f>IFERROR(VLOOKUP(I92,[2]aux!$A$1:$B$5,2,FALSE),"")</f>
        <v/>
      </c>
      <c r="K92" s="11" t="s">
        <v>35</v>
      </c>
      <c r="L92" s="12"/>
      <c r="M92" s="14">
        <f t="shared" si="3"/>
        <v>236470</v>
      </c>
      <c r="N92" s="16">
        <v>115940</v>
      </c>
      <c r="O92" s="16">
        <v>120530.00000000001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</row>
    <row r="93" spans="1:25" x14ac:dyDescent="0.2">
      <c r="A93" s="10" t="str">
        <f t="shared" si="4"/>
        <v>FRANQUIA</v>
      </c>
      <c r="B93" s="13" t="s">
        <v>25</v>
      </c>
      <c r="C93" s="12" t="str">
        <f>IFERROR(VLOOKUP(B93,[2]aux!$G$1:$H$55,2,FALSE),"")</f>
        <v>TSE104</v>
      </c>
      <c r="D93" s="13" t="s">
        <v>53</v>
      </c>
      <c r="E93" s="13" t="s">
        <v>54</v>
      </c>
      <c r="F93" s="13" t="s">
        <v>48</v>
      </c>
      <c r="G93" s="13" t="s">
        <v>43</v>
      </c>
      <c r="H93" s="13" t="s">
        <v>44</v>
      </c>
      <c r="I93" s="13" t="s">
        <v>41</v>
      </c>
      <c r="J93" s="12" t="str">
        <f>IFERROR(VLOOKUP(I93,[2]aux!$A$1:$B$5,2,FALSE),"")</f>
        <v/>
      </c>
      <c r="K93" s="11" t="s">
        <v>35</v>
      </c>
      <c r="L93" s="12"/>
      <c r="M93" s="14">
        <f t="shared" si="3"/>
        <v>2782</v>
      </c>
      <c r="N93" s="16">
        <v>1364</v>
      </c>
      <c r="O93" s="16">
        <v>1418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</row>
    <row r="94" spans="1:25" x14ac:dyDescent="0.2">
      <c r="A94" s="10" t="str">
        <f t="shared" si="4"/>
        <v>FRANQUIA</v>
      </c>
      <c r="B94" s="13" t="s">
        <v>25</v>
      </c>
      <c r="C94" s="12" t="str">
        <f>IFERROR(VLOOKUP(B94,[2]aux!$G$1:$H$55,2,FALSE),"")</f>
        <v>TSE104</v>
      </c>
      <c r="D94" s="13" t="s">
        <v>53</v>
      </c>
      <c r="E94" s="13" t="s">
        <v>54</v>
      </c>
      <c r="F94" s="13" t="s">
        <v>48</v>
      </c>
      <c r="G94" s="13" t="s">
        <v>43</v>
      </c>
      <c r="H94" s="13" t="s">
        <v>44</v>
      </c>
      <c r="I94" s="13" t="s">
        <v>42</v>
      </c>
      <c r="J94" s="12" t="str">
        <f>IFERROR(VLOOKUP(I94,[2]aux!$A$1:$B$5,2,FALSE),"")</f>
        <v/>
      </c>
      <c r="K94" s="11" t="s">
        <v>35</v>
      </c>
      <c r="L94" s="12" t="str">
        <f>IFERROR(VLOOKUP(K94,[2]aux!$D$1:$E$12,2,FALSE),"")</f>
        <v>000001</v>
      </c>
      <c r="M94" s="14">
        <f t="shared" si="3"/>
        <v>1391</v>
      </c>
      <c r="N94" s="16">
        <v>682</v>
      </c>
      <c r="O94" s="16">
        <v>709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</row>
    <row r="95" spans="1:25" x14ac:dyDescent="0.2">
      <c r="A95" s="10" t="str">
        <f>IF(B95&lt;&gt;"","FRANQUIA","")</f>
        <v>FRANQUIA</v>
      </c>
      <c r="B95" s="13" t="s">
        <v>25</v>
      </c>
      <c r="C95" s="12" t="str">
        <f>IFERROR(VLOOKUP(B95,[2]aux!$G$1:$H$55,2,FALSE),"")</f>
        <v>TSE104</v>
      </c>
      <c r="D95" s="13" t="s">
        <v>55</v>
      </c>
      <c r="E95" s="13" t="s">
        <v>56</v>
      </c>
      <c r="F95" s="13" t="s">
        <v>48</v>
      </c>
      <c r="G95" s="13" t="s">
        <v>43</v>
      </c>
      <c r="H95" s="13" t="s">
        <v>44</v>
      </c>
      <c r="I95" s="13" t="s">
        <v>29</v>
      </c>
      <c r="J95" s="12" t="str">
        <f>IFERROR(VLOOKUP(I95,[2]aux!$A$1:$B$5,2,FALSE),"")</f>
        <v>0203</v>
      </c>
      <c r="K95" s="13" t="s">
        <v>34</v>
      </c>
      <c r="L95" s="12" t="str">
        <f>IFERROR(VLOOKUP(K95,[2]aux!$D$1:$E$12,2,FALSE),"")</f>
        <v>000014</v>
      </c>
      <c r="M95" s="14">
        <f t="shared" si="3"/>
        <v>46500</v>
      </c>
      <c r="N95" s="16">
        <v>0</v>
      </c>
      <c r="O95" s="16">
        <v>0</v>
      </c>
      <c r="P95" s="16">
        <v>4500</v>
      </c>
      <c r="Q95" s="16">
        <v>4500</v>
      </c>
      <c r="R95" s="16">
        <v>4500</v>
      </c>
      <c r="S95" s="16">
        <v>5400</v>
      </c>
      <c r="T95" s="16">
        <v>4500</v>
      </c>
      <c r="U95" s="16">
        <v>4500</v>
      </c>
      <c r="V95" s="16">
        <v>5400</v>
      </c>
      <c r="W95" s="16">
        <v>4200</v>
      </c>
      <c r="X95" s="16">
        <v>4200</v>
      </c>
      <c r="Y95" s="16">
        <v>4800</v>
      </c>
    </row>
    <row r="96" spans="1:25" x14ac:dyDescent="0.2">
      <c r="A96" s="10" t="str">
        <f t="shared" ref="A96:A104" si="5">IF(B96&lt;&gt;"","FRANQUIA","")</f>
        <v>FRANQUIA</v>
      </c>
      <c r="B96" s="13" t="s">
        <v>25</v>
      </c>
      <c r="C96" s="12" t="str">
        <f>IFERROR(VLOOKUP(B96,[2]aux!$G$1:$H$55,2,FALSE),"")</f>
        <v>TSE104</v>
      </c>
      <c r="D96" s="13" t="s">
        <v>55</v>
      </c>
      <c r="E96" s="13" t="s">
        <v>56</v>
      </c>
      <c r="F96" s="13" t="s">
        <v>48</v>
      </c>
      <c r="G96" s="13" t="s">
        <v>43</v>
      </c>
      <c r="H96" s="13" t="s">
        <v>44</v>
      </c>
      <c r="I96" s="13" t="s">
        <v>29</v>
      </c>
      <c r="J96" s="12" t="str">
        <f>IFERROR(VLOOKUP(I96,[2]aux!$A$1:$B$5,2,FALSE),"")</f>
        <v>0203</v>
      </c>
      <c r="K96" s="13" t="s">
        <v>35</v>
      </c>
      <c r="L96" s="12" t="str">
        <f>IFERROR(VLOOKUP(K96,[2]aux!$D$1:$E$12,2,FALSE),"")</f>
        <v>000001</v>
      </c>
      <c r="M96" s="14">
        <f t="shared" si="3"/>
        <v>108500</v>
      </c>
      <c r="N96" s="16">
        <v>0</v>
      </c>
      <c r="O96" s="16">
        <v>0</v>
      </c>
      <c r="P96" s="16">
        <v>10500</v>
      </c>
      <c r="Q96" s="16">
        <v>10500</v>
      </c>
      <c r="R96" s="16">
        <v>10500</v>
      </c>
      <c r="S96" s="16">
        <v>12600</v>
      </c>
      <c r="T96" s="16">
        <v>10500</v>
      </c>
      <c r="U96" s="16">
        <v>10500</v>
      </c>
      <c r="V96" s="16">
        <v>12600</v>
      </c>
      <c r="W96" s="16">
        <v>9800.0000000000018</v>
      </c>
      <c r="X96" s="16">
        <v>9800.0000000000018</v>
      </c>
      <c r="Y96" s="16">
        <v>11200</v>
      </c>
    </row>
    <row r="97" spans="1:25" x14ac:dyDescent="0.2">
      <c r="A97" s="10" t="str">
        <f t="shared" si="5"/>
        <v>FRANQUIA</v>
      </c>
      <c r="B97" s="13" t="s">
        <v>25</v>
      </c>
      <c r="C97" s="12" t="str">
        <f>IFERROR(VLOOKUP(B97,[2]aux!$G$1:$H$55,2,FALSE),"")</f>
        <v>TSE104</v>
      </c>
      <c r="D97" s="13" t="s">
        <v>55</v>
      </c>
      <c r="E97" s="13" t="s">
        <v>56</v>
      </c>
      <c r="F97" s="13" t="s">
        <v>48</v>
      </c>
      <c r="G97" s="13" t="s">
        <v>43</v>
      </c>
      <c r="H97" s="13" t="s">
        <v>44</v>
      </c>
      <c r="I97" s="13" t="s">
        <v>38</v>
      </c>
      <c r="J97" s="12" t="str">
        <f>IFERROR(VLOOKUP(I97,[2]aux!$A$1:$B$5,2,FALSE),"")</f>
        <v>0258</v>
      </c>
      <c r="K97" s="13" t="s">
        <v>34</v>
      </c>
      <c r="L97" s="12" t="str">
        <f>IFERROR(VLOOKUP(K97,[2]aux!$D$1:$E$12,2,FALSE),"")</f>
        <v>000014</v>
      </c>
      <c r="M97" s="14">
        <f t="shared" si="3"/>
        <v>33228.106801817623</v>
      </c>
      <c r="N97" s="16">
        <v>0</v>
      </c>
      <c r="O97" s="16">
        <v>0</v>
      </c>
      <c r="P97" s="16">
        <v>3090.9866792388484</v>
      </c>
      <c r="Q97" s="16">
        <v>3090.9866792388484</v>
      </c>
      <c r="R97" s="16">
        <v>3477.3600141437041</v>
      </c>
      <c r="S97" s="16">
        <v>3863.7333490485603</v>
      </c>
      <c r="T97" s="16">
        <v>3090.9866792388484</v>
      </c>
      <c r="U97" s="16">
        <v>3477.3600141437041</v>
      </c>
      <c r="V97" s="16">
        <v>3863.7333490485603</v>
      </c>
      <c r="W97" s="16">
        <v>2897.8000117864199</v>
      </c>
      <c r="X97" s="16">
        <v>2897.8000117864199</v>
      </c>
      <c r="Y97" s="16">
        <v>3477.3600141437041</v>
      </c>
    </row>
    <row r="98" spans="1:25" x14ac:dyDescent="0.2">
      <c r="A98" s="10" t="str">
        <f t="shared" si="5"/>
        <v>FRANQUIA</v>
      </c>
      <c r="B98" s="13" t="s">
        <v>25</v>
      </c>
      <c r="C98" s="12" t="str">
        <f>IFERROR(VLOOKUP(B98,[2]aux!$G$1:$H$55,2,FALSE),"")</f>
        <v>TSE104</v>
      </c>
      <c r="D98" s="13" t="s">
        <v>55</v>
      </c>
      <c r="E98" s="13" t="s">
        <v>56</v>
      </c>
      <c r="F98" s="13" t="s">
        <v>48</v>
      </c>
      <c r="G98" s="13" t="s">
        <v>43</v>
      </c>
      <c r="H98" s="13" t="s">
        <v>44</v>
      </c>
      <c r="I98" s="13" t="s">
        <v>38</v>
      </c>
      <c r="J98" s="12" t="str">
        <f>IFERROR(VLOOKUP(I98,[2]aux!$A$1:$B$5,2,FALSE),"")</f>
        <v>0258</v>
      </c>
      <c r="K98" s="13" t="s">
        <v>35</v>
      </c>
      <c r="L98" s="12" t="str">
        <f>IFERROR(VLOOKUP(K98,[2]aux!$D$1:$E$12,2,FALSE),"")</f>
        <v>000001</v>
      </c>
      <c r="M98" s="14">
        <f t="shared" si="3"/>
        <v>70172.539571924965</v>
      </c>
      <c r="N98" s="16">
        <v>0</v>
      </c>
      <c r="O98" s="16">
        <v>0</v>
      </c>
      <c r="P98" s="16">
        <v>6527.6780997139504</v>
      </c>
      <c r="Q98" s="16">
        <v>6527.6780997139504</v>
      </c>
      <c r="R98" s="16">
        <v>7343.6378621781942</v>
      </c>
      <c r="S98" s="16">
        <v>8159.5976246424389</v>
      </c>
      <c r="T98" s="16">
        <v>6527.6780997139504</v>
      </c>
      <c r="U98" s="16">
        <v>7343.6378621781942</v>
      </c>
      <c r="V98" s="16">
        <v>8159.5976246424389</v>
      </c>
      <c r="W98" s="16">
        <v>6119.6982184818289</v>
      </c>
      <c r="X98" s="16">
        <v>6119.6982184818289</v>
      </c>
      <c r="Y98" s="16">
        <v>7343.6378621781942</v>
      </c>
    </row>
    <row r="99" spans="1:25" x14ac:dyDescent="0.2">
      <c r="A99" s="10" t="str">
        <f t="shared" si="5"/>
        <v>FRANQUIA</v>
      </c>
      <c r="B99" s="13" t="s">
        <v>25</v>
      </c>
      <c r="C99" s="12" t="str">
        <f>IFERROR(VLOOKUP(B99,[2]aux!$G$1:$H$55,2,FALSE),"")</f>
        <v>TSE104</v>
      </c>
      <c r="D99" s="13" t="s">
        <v>55</v>
      </c>
      <c r="E99" s="13" t="s">
        <v>56</v>
      </c>
      <c r="F99" s="13" t="s">
        <v>48</v>
      </c>
      <c r="G99" s="13" t="s">
        <v>43</v>
      </c>
      <c r="H99" s="13" t="s">
        <v>44</v>
      </c>
      <c r="I99" s="13" t="s">
        <v>39</v>
      </c>
      <c r="J99" s="12" t="str">
        <f>IFERROR(VLOOKUP(I99,[2]aux!$A$1:$B$5,2,FALSE),"")</f>
        <v>0303</v>
      </c>
      <c r="K99" s="13" t="s">
        <v>34</v>
      </c>
      <c r="L99" s="12" t="str">
        <f>IFERROR(VLOOKUP(K99,[2]aux!$D$1:$E$12,2,FALSE),"")</f>
        <v>000014</v>
      </c>
      <c r="M99" s="14">
        <f t="shared" si="3"/>
        <v>1171.8931981823825</v>
      </c>
      <c r="N99" s="16">
        <v>0</v>
      </c>
      <c r="O99" s="16">
        <v>0</v>
      </c>
      <c r="P99" s="16">
        <v>109.01332076115186</v>
      </c>
      <c r="Q99" s="16">
        <v>109.01332076115186</v>
      </c>
      <c r="R99" s="16">
        <v>122.63998585629584</v>
      </c>
      <c r="S99" s="16">
        <v>136.26665095143983</v>
      </c>
      <c r="T99" s="16">
        <v>109.01332076115186</v>
      </c>
      <c r="U99" s="16">
        <v>122.63998585629584</v>
      </c>
      <c r="V99" s="16">
        <v>136.26665095143983</v>
      </c>
      <c r="W99" s="16">
        <v>102.19998821357987</v>
      </c>
      <c r="X99" s="16">
        <v>102.19998821357987</v>
      </c>
      <c r="Y99" s="16">
        <v>122.63998585629584</v>
      </c>
    </row>
    <row r="100" spans="1:25" x14ac:dyDescent="0.2">
      <c r="A100" s="10" t="str">
        <f t="shared" si="5"/>
        <v>FRANQUIA</v>
      </c>
      <c r="B100" s="13" t="s">
        <v>25</v>
      </c>
      <c r="C100" s="12" t="str">
        <f>IFERROR(VLOOKUP(B100,[2]aux!$G$1:$H$55,2,FALSE),"")</f>
        <v>TSE104</v>
      </c>
      <c r="D100" s="13" t="s">
        <v>55</v>
      </c>
      <c r="E100" s="13" t="s">
        <v>56</v>
      </c>
      <c r="F100" s="13" t="s">
        <v>48</v>
      </c>
      <c r="G100" s="13" t="s">
        <v>43</v>
      </c>
      <c r="H100" s="13" t="s">
        <v>44</v>
      </c>
      <c r="I100" s="13" t="s">
        <v>39</v>
      </c>
      <c r="J100" s="12" t="str">
        <f>IFERROR(VLOOKUP(I100,[2]aux!$A$1:$B$5,2,FALSE),"")</f>
        <v>0303</v>
      </c>
      <c r="K100" s="13" t="s">
        <v>35</v>
      </c>
      <c r="L100" s="12" t="str">
        <f>IFERROR(VLOOKUP(K100,[2]aux!$D$1:$E$12,2,FALSE),"")</f>
        <v>000001</v>
      </c>
      <c r="M100" s="14">
        <f t="shared" si="3"/>
        <v>5244.6195018728795</v>
      </c>
      <c r="N100" s="16">
        <v>0</v>
      </c>
      <c r="O100" s="16">
        <v>0</v>
      </c>
      <c r="P100" s="16">
        <v>487.8715815695702</v>
      </c>
      <c r="Q100" s="16">
        <v>487.8715815695702</v>
      </c>
      <c r="R100" s="16">
        <v>548.85552926576645</v>
      </c>
      <c r="S100" s="16">
        <v>609.83947696196276</v>
      </c>
      <c r="T100" s="16">
        <v>487.8715815695702</v>
      </c>
      <c r="U100" s="16">
        <v>548.85552926576645</v>
      </c>
      <c r="V100" s="16">
        <v>609.83947696196276</v>
      </c>
      <c r="W100" s="16">
        <v>457.37960772147204</v>
      </c>
      <c r="X100" s="16">
        <v>457.37960772147204</v>
      </c>
      <c r="Y100" s="16">
        <v>548.85552926576645</v>
      </c>
    </row>
    <row r="101" spans="1:25" x14ac:dyDescent="0.2">
      <c r="A101" s="10" t="str">
        <f t="shared" si="5"/>
        <v>FRANQUIA</v>
      </c>
      <c r="B101" s="13" t="s">
        <v>25</v>
      </c>
      <c r="C101" s="12" t="str">
        <f>IFERROR(VLOOKUP(B101,[2]aux!$G$1:$H$55,2,FALSE),"")</f>
        <v>TSE104</v>
      </c>
      <c r="D101" s="13" t="s">
        <v>55</v>
      </c>
      <c r="E101" s="13" t="s">
        <v>56</v>
      </c>
      <c r="F101" s="13" t="s">
        <v>48</v>
      </c>
      <c r="G101" s="13" t="s">
        <v>43</v>
      </c>
      <c r="H101" s="13" t="s">
        <v>44</v>
      </c>
      <c r="I101" s="13" t="s">
        <v>38</v>
      </c>
      <c r="J101" s="12" t="str">
        <f>IFERROR(VLOOKUP(I101,[2]aux!$A$1:$B$5,2,FALSE),"")</f>
        <v>0258</v>
      </c>
      <c r="K101" s="13" t="s">
        <v>35</v>
      </c>
      <c r="L101" s="12" t="str">
        <f>IFERROR(VLOOKUP(K101,[2]aux!$D$1:$E$12,2,FALSE),"")</f>
        <v>000001</v>
      </c>
      <c r="M101" s="14">
        <f t="shared" si="3"/>
        <v>1982.8409262021571</v>
      </c>
      <c r="N101" s="16">
        <v>0</v>
      </c>
      <c r="O101" s="16">
        <v>0</v>
      </c>
      <c r="P101" s="16">
        <v>184.4503187164797</v>
      </c>
      <c r="Q101" s="16">
        <v>184.4503187164797</v>
      </c>
      <c r="R101" s="16">
        <v>207.50660855603965</v>
      </c>
      <c r="S101" s="16">
        <v>230.56289839559963</v>
      </c>
      <c r="T101" s="16">
        <v>184.4503187164797</v>
      </c>
      <c r="U101" s="16">
        <v>207.50660855603965</v>
      </c>
      <c r="V101" s="16">
        <v>230.56289839559963</v>
      </c>
      <c r="W101" s="16">
        <v>172.92217379669972</v>
      </c>
      <c r="X101" s="16">
        <v>172.92217379669972</v>
      </c>
      <c r="Y101" s="16">
        <v>207.50660855603965</v>
      </c>
    </row>
    <row r="102" spans="1:25" x14ac:dyDescent="0.2">
      <c r="A102" s="10" t="str">
        <f t="shared" si="5"/>
        <v>FRANQUIA</v>
      </c>
      <c r="B102" s="13" t="s">
        <v>25</v>
      </c>
      <c r="C102" s="12" t="str">
        <f>IFERROR(VLOOKUP(B102,[2]aux!$G$1:$H$55,2,FALSE),"")</f>
        <v>TSE104</v>
      </c>
      <c r="D102" s="13" t="s">
        <v>55</v>
      </c>
      <c r="E102" s="13" t="s">
        <v>56</v>
      </c>
      <c r="F102" s="13" t="s">
        <v>48</v>
      </c>
      <c r="G102" s="13" t="s">
        <v>43</v>
      </c>
      <c r="H102" s="13" t="s">
        <v>44</v>
      </c>
      <c r="I102" s="13" t="s">
        <v>40</v>
      </c>
      <c r="J102" s="12" t="str">
        <f>IFERROR(VLOOKUP(I102,[2]aux!$A$1:$B$5,2,FALSE),"")</f>
        <v/>
      </c>
      <c r="K102" s="11" t="s">
        <v>35</v>
      </c>
      <c r="L102" s="12" t="str">
        <f>IFERROR(VLOOKUP(K102,[2]aux!$D$1:$E$12,2,FALSE),"")</f>
        <v>000001</v>
      </c>
      <c r="M102" s="14">
        <f t="shared" si="3"/>
        <v>1463530</v>
      </c>
      <c r="N102" s="16">
        <v>0</v>
      </c>
      <c r="O102" s="16">
        <v>0</v>
      </c>
      <c r="P102" s="16">
        <v>138380</v>
      </c>
      <c r="Q102" s="16">
        <v>142800</v>
      </c>
      <c r="R102" s="16">
        <v>147220</v>
      </c>
      <c r="S102" s="16">
        <v>151640</v>
      </c>
      <c r="T102" s="16">
        <v>142800</v>
      </c>
      <c r="U102" s="16">
        <v>147220</v>
      </c>
      <c r="V102" s="16">
        <v>151640</v>
      </c>
      <c r="W102" s="16">
        <v>142800</v>
      </c>
      <c r="X102" s="16">
        <v>147220</v>
      </c>
      <c r="Y102" s="16">
        <v>151810</v>
      </c>
    </row>
    <row r="103" spans="1:25" x14ac:dyDescent="0.2">
      <c r="A103" s="10" t="str">
        <f t="shared" si="5"/>
        <v>FRANQUIA</v>
      </c>
      <c r="B103" s="13" t="s">
        <v>25</v>
      </c>
      <c r="C103" s="12" t="str">
        <f>IFERROR(VLOOKUP(B103,[2]aux!$G$1:$H$55,2,FALSE),"")</f>
        <v>TSE104</v>
      </c>
      <c r="D103" s="13" t="s">
        <v>55</v>
      </c>
      <c r="E103" s="13" t="s">
        <v>56</v>
      </c>
      <c r="F103" s="13" t="s">
        <v>48</v>
      </c>
      <c r="G103" s="13" t="s">
        <v>43</v>
      </c>
      <c r="H103" s="13" t="s">
        <v>44</v>
      </c>
      <c r="I103" s="13" t="s">
        <v>41</v>
      </c>
      <c r="J103" s="12" t="str">
        <f>IFERROR(VLOOKUP(I103,[2]aux!$A$1:$B$5,2,FALSE),"")</f>
        <v/>
      </c>
      <c r="K103" s="11" t="s">
        <v>35</v>
      </c>
      <c r="L103" s="12" t="str">
        <f>IFERROR(VLOOKUP(K103,[2]aux!$D$1:$E$12,2,FALSE),"")</f>
        <v>000001</v>
      </c>
      <c r="M103" s="14">
        <f t="shared" si="3"/>
        <v>17218</v>
      </c>
      <c r="N103" s="16">
        <v>0</v>
      </c>
      <c r="O103" s="16">
        <v>0</v>
      </c>
      <c r="P103" s="16">
        <v>1628</v>
      </c>
      <c r="Q103" s="16">
        <v>1680</v>
      </c>
      <c r="R103" s="16">
        <v>1732</v>
      </c>
      <c r="S103" s="16">
        <v>1784</v>
      </c>
      <c r="T103" s="16">
        <v>1680</v>
      </c>
      <c r="U103" s="16">
        <v>1732</v>
      </c>
      <c r="V103" s="16">
        <v>1784</v>
      </c>
      <c r="W103" s="16">
        <v>1680</v>
      </c>
      <c r="X103" s="16">
        <v>1732</v>
      </c>
      <c r="Y103" s="16">
        <v>1786</v>
      </c>
    </row>
    <row r="104" spans="1:25" x14ac:dyDescent="0.2">
      <c r="A104" s="10" t="str">
        <f t="shared" si="5"/>
        <v>FRANQUIA</v>
      </c>
      <c r="B104" s="13" t="s">
        <v>25</v>
      </c>
      <c r="C104" s="12" t="str">
        <f>IFERROR(VLOOKUP(B104,[2]aux!$G$1:$H$55,2,FALSE),"")</f>
        <v>TSE104</v>
      </c>
      <c r="D104" s="13" t="s">
        <v>55</v>
      </c>
      <c r="E104" s="13" t="s">
        <v>56</v>
      </c>
      <c r="F104" s="13" t="s">
        <v>48</v>
      </c>
      <c r="G104" s="13" t="s">
        <v>43</v>
      </c>
      <c r="H104" s="13" t="s">
        <v>44</v>
      </c>
      <c r="I104" s="13" t="s">
        <v>42</v>
      </c>
      <c r="J104" s="12" t="str">
        <f>IFERROR(VLOOKUP(I104,[2]aux!$A$1:$B$5,2,FALSE),"")</f>
        <v/>
      </c>
      <c r="K104" s="11" t="s">
        <v>35</v>
      </c>
      <c r="L104" s="12" t="str">
        <f>IFERROR(VLOOKUP(K104,[2]aux!$D$1:$E$12,2,FALSE),"")</f>
        <v>000001</v>
      </c>
      <c r="M104" s="14">
        <f t="shared" si="3"/>
        <v>8609</v>
      </c>
      <c r="N104" s="16">
        <v>0</v>
      </c>
      <c r="O104" s="16">
        <v>0</v>
      </c>
      <c r="P104" s="16">
        <v>814</v>
      </c>
      <c r="Q104" s="16">
        <v>840</v>
      </c>
      <c r="R104" s="16">
        <v>866</v>
      </c>
      <c r="S104" s="16">
        <v>892</v>
      </c>
      <c r="T104" s="16">
        <v>840</v>
      </c>
      <c r="U104" s="16">
        <v>866</v>
      </c>
      <c r="V104" s="16">
        <v>892</v>
      </c>
      <c r="W104" s="16">
        <v>840</v>
      </c>
      <c r="X104" s="16">
        <v>866</v>
      </c>
      <c r="Y104" s="16">
        <v>893</v>
      </c>
    </row>
  </sheetData>
  <autoFilter ref="A1:Y104" xr:uid="{FA476C5D-EC59-F24A-B2C0-81396F54BFA7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Danilo Prates</dc:creator>
  <cp:lastModifiedBy>Danilo Prates</cp:lastModifiedBy>
  <dcterms:created xsi:type="dcterms:W3CDTF">2026-04-08T11:47:40Z</dcterms:created>
  <dcterms:modified xsi:type="dcterms:W3CDTF">2026-04-08T11:50:08Z</dcterms:modified>
</cp:coreProperties>
</file>